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5.xml" ContentType="application/vnd.openxmlformats-officedocument.drawing+xml"/>
  <Override PartName="/xl/embeddings/oleObject1.bin" ContentType="application/vnd.openxmlformats-officedocument.oleObject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ÄGARE\Documents\Anpassade Office-mallar\"/>
    </mc:Choice>
  </mc:AlternateContent>
  <xr:revisionPtr revIDLastSave="0" documentId="8_{66778287-618F-4157-80C7-41DEFE172A85}" xr6:coauthVersionLast="47" xr6:coauthVersionMax="47" xr10:uidLastSave="{00000000-0000-0000-0000-000000000000}"/>
  <bookViews>
    <workbookView showHorizontalScroll="0" xWindow="7755" yWindow="3450" windowWidth="28695" windowHeight="15240" tabRatio="853" activeTab="1" xr2:uid="{00000000-000D-0000-FFFF-FFFF00000000}"/>
  </bookViews>
  <sheets>
    <sheet name="B_mall" sheetId="272" r:id="rId1"/>
    <sheet name="A_Blankett" sheetId="5" r:id="rId2"/>
    <sheet name="Ett Intyg" sheetId="598" r:id="rId3"/>
    <sheet name="L1" sheetId="68" r:id="rId4"/>
    <sheet name="E1" sheetId="145" r:id="rId5"/>
    <sheet name="K1" sheetId="263" r:id="rId6"/>
    <sheet name="C1" sheetId="3" r:id="rId7"/>
    <sheet name="D1" sheetId="17" r:id="rId8"/>
    <sheet name="Intyg_Mall" sheetId="160" r:id="rId9"/>
    <sheet name="Checklista" sheetId="15" r:id="rId10"/>
    <sheet name="Manual" sheetId="173" r:id="rId11"/>
    <sheet name="Setup" sheetId="341" r:id="rId12"/>
    <sheet name="Flera intyg" sheetId="772" r:id="rId13"/>
  </sheets>
  <definedNames>
    <definedName name="rngCert" localSheetId="12">'Flera intyg'!$B$2:$M$25</definedName>
    <definedName name="rngCert">Intyg_Mall!$B$2:$M$25</definedName>
    <definedName name="rngEnergi" localSheetId="12">tblEnergi[Energisparförslag]</definedName>
    <definedName name="rngEnergi">tblEnergi[Energisparförslag]</definedName>
    <definedName name="rngFilter" localSheetId="12">Tabell10[Filter]</definedName>
    <definedName name="rngFilter">Tabell10[Filter]</definedName>
    <definedName name="rngFläkthjul" localSheetId="12">Tabell8[Fläkthjul]</definedName>
    <definedName name="rngFläkthjul">Tabell8[Fläkthjul]</definedName>
    <definedName name="rngNameOfSh">A_Blankett!$J$23:$J$35</definedName>
    <definedName name="rngVVXTyp" localSheetId="12">Tabell9[VVX typ]</definedName>
    <definedName name="rngVVXTyp">Tabell9[VVX typ]</definedName>
    <definedName name="tblbeskat" localSheetId="12">Tabell5[Bes kat]</definedName>
    <definedName name="tblbeskat">Tabell5[Bes kat]</definedName>
    <definedName name="tblFlaktTyp" localSheetId="12">Tabell4[Fläkttyp]</definedName>
    <definedName name="tblFlaktTyp">Tabell4[Fläkttyp]</definedName>
    <definedName name="tblPos" localSheetId="12">Tabell1[Pos]</definedName>
    <definedName name="tblPos">Tabell1[Pos]</definedName>
    <definedName name="tblRes" localSheetId="12">Tabell6[Resultat]</definedName>
    <definedName name="tblRes">Tabell6[Resultat]</definedName>
    <definedName name="tblSystemtyp" localSheetId="12">Tabell3[Systemtyp]</definedName>
    <definedName name="tblSystemtyp">Tabell3[Systemtyp]</definedName>
    <definedName name="tblUtfall" localSheetId="12">Tabell2[Utfall]</definedName>
    <definedName name="tblUtfall">Tabell2[Utfall]</definedName>
    <definedName name="_xlnm.Print_Area" localSheetId="1">A_Blankett!$D$5:$M$56</definedName>
    <definedName name="_xlnm.Print_Area" localSheetId="0">B_mall!$C$4:$M$60</definedName>
    <definedName name="_xlnm.Print_Area" localSheetId="6">'C1'!$C$1:$N$55</definedName>
    <definedName name="_xlnm.Print_Area" localSheetId="9">Checklista!$C$4:$W$115</definedName>
    <definedName name="_xlnm.Print_Area" localSheetId="7">'D1'!$C$1:$N$54</definedName>
    <definedName name="_xlnm.Print_Area" localSheetId="4">'E1'!$C$3:$S$54</definedName>
    <definedName name="_xlnm.Print_Area" localSheetId="2">'Ett Intyg'!$B$2:$M$34</definedName>
    <definedName name="_xlnm.Print_Area" localSheetId="12">'Flera intyg'!$B$2:$Z$77</definedName>
    <definedName name="_xlnm.Print_Area" localSheetId="8">Intyg_Mall!$B$2:$Z$77,Intyg_Mall!$B$80:$Z$155,Intyg_Mall!$B$158:$Z$181</definedName>
    <definedName name="_xlnm.Print_Area" localSheetId="5">'K1'!$D$6:$W$51</definedName>
    <definedName name="_xlnm.Print_Area" localSheetId="3">'L1'!$E$2:$X$47</definedName>
    <definedName name="_xlnm.Print_Area" localSheetId="10">Manual!$C$5:$M$153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7" i="772" l="1"/>
  <c r="H17" i="772"/>
  <c r="G17" i="772"/>
  <c r="E17" i="772"/>
  <c r="E15" i="772"/>
  <c r="H9" i="772"/>
  <c r="J30" i="5"/>
  <c r="J36" i="5"/>
  <c r="J29" i="5"/>
  <c r="E11" i="772"/>
  <c r="J35" i="5"/>
  <c r="J31" i="5"/>
  <c r="J32" i="5"/>
  <c r="J28" i="5"/>
  <c r="E9" i="772" a="1"/>
  <c r="E9" i="598" a="1"/>
  <c r="J33" i="5"/>
  <c r="J34" i="5"/>
  <c r="E9" i="772" l="1"/>
  <c r="E9" i="598"/>
  <c r="J23" i="5"/>
  <c r="E9" i="160" a="1"/>
  <c r="E9" i="160" l="1"/>
  <c r="J17" i="598"/>
  <c r="H17" i="598"/>
  <c r="G17" i="598"/>
  <c r="E17" i="598"/>
  <c r="E15" i="598"/>
  <c r="H9" i="598"/>
  <c r="J24" i="5"/>
  <c r="J25" i="5"/>
  <c r="E11" i="598"/>
  <c r="G17" i="160" l="1"/>
  <c r="J17" i="160"/>
  <c r="H17" i="160"/>
  <c r="E15" i="160"/>
  <c r="E17" i="160"/>
  <c r="E11" i="160"/>
  <c r="I9" i="272" l="1"/>
  <c r="H6" i="272"/>
  <c r="R9" i="263"/>
  <c r="K9" i="263"/>
  <c r="E9" i="263"/>
  <c r="K7" i="263"/>
  <c r="C36" i="5"/>
  <c r="H3" i="3"/>
  <c r="D6" i="3"/>
  <c r="I6" i="3"/>
  <c r="H4" i="17"/>
  <c r="D7" i="17"/>
  <c r="H7" i="17"/>
  <c r="I5" i="145"/>
  <c r="D7" i="145"/>
  <c r="I7" i="145"/>
  <c r="P7" i="145"/>
  <c r="I9" i="145"/>
  <c r="D30" i="145"/>
  <c r="E30" i="145"/>
  <c r="F47" i="145"/>
  <c r="F51" i="145"/>
  <c r="F50" i="145" s="1"/>
  <c r="H9" i="160"/>
  <c r="K3" i="68"/>
  <c r="K5" i="68"/>
  <c r="R5" i="68"/>
  <c r="M15" i="68"/>
  <c r="T15" i="68"/>
  <c r="M16" i="68"/>
  <c r="T16" i="68"/>
  <c r="M17" i="68"/>
  <c r="T17" i="68"/>
  <c r="M18" i="68"/>
  <c r="T18" i="68"/>
  <c r="M19" i="68"/>
  <c r="T19" i="68"/>
  <c r="M20" i="68"/>
  <c r="T20" i="68"/>
  <c r="M21" i="68"/>
  <c r="T21" i="68"/>
  <c r="M22" i="68"/>
  <c r="T22" i="68"/>
  <c r="M23" i="68"/>
  <c r="T23" i="68"/>
  <c r="M24" i="68"/>
  <c r="T24" i="68"/>
  <c r="M25" i="68"/>
  <c r="T25" i="68"/>
  <c r="M26" i="68"/>
  <c r="T26" i="68"/>
  <c r="M27" i="68"/>
  <c r="T27" i="68"/>
  <c r="M28" i="68"/>
  <c r="T28" i="68"/>
  <c r="M29" i="68"/>
  <c r="T29" i="68"/>
  <c r="M30" i="68"/>
  <c r="T30" i="68"/>
  <c r="M31" i="68"/>
  <c r="T31" i="68"/>
  <c r="M32" i="68"/>
  <c r="T32" i="68"/>
  <c r="M33" i="68"/>
  <c r="T33" i="68"/>
  <c r="M34" i="68"/>
  <c r="T34" i="68"/>
  <c r="J26" i="5"/>
  <c r="D36" i="5"/>
  <c r="F27" i="145" l="1"/>
  <c r="H26" i="5"/>
  <c r="E23" i="5"/>
  <c r="D33" i="5"/>
  <c r="F30" i="5"/>
  <c r="H31" i="5"/>
  <c r="G32" i="5"/>
  <c r="E33" i="5"/>
  <c r="D23" i="5"/>
  <c r="G33" i="5"/>
  <c r="H23" i="5"/>
  <c r="G25" i="5"/>
  <c r="D24" i="5"/>
  <c r="H25" i="5"/>
  <c r="D28" i="5"/>
  <c r="H28" i="5"/>
  <c r="F29" i="5"/>
  <c r="F23" i="5"/>
  <c r="E32" i="5"/>
  <c r="J27" i="5"/>
  <c r="H30" i="5"/>
  <c r="D31" i="5"/>
  <c r="D34" i="5"/>
  <c r="H29" i="5"/>
  <c r="F26" i="5"/>
  <c r="H24" i="5"/>
  <c r="E29" i="5"/>
  <c r="G30" i="5"/>
  <c r="F24" i="5"/>
  <c r="F33" i="5"/>
  <c r="E28" i="5"/>
  <c r="F28" i="5"/>
  <c r="F32" i="5"/>
  <c r="G23" i="5"/>
  <c r="G31" i="5"/>
  <c r="G24" i="5"/>
  <c r="G29" i="5"/>
  <c r="E26" i="5"/>
  <c r="E25" i="5"/>
  <c r="F31" i="5"/>
  <c r="G26" i="5"/>
  <c r="D32" i="5"/>
  <c r="E34" i="5"/>
  <c r="G34" i="5"/>
  <c r="G28" i="5"/>
  <c r="D30" i="5"/>
  <c r="H32" i="5"/>
  <c r="E24" i="5"/>
  <c r="D25" i="5"/>
  <c r="D29" i="5"/>
  <c r="E31" i="5"/>
  <c r="H34" i="5"/>
  <c r="E30" i="5"/>
  <c r="H33" i="5"/>
  <c r="F25" i="5"/>
  <c r="D26" i="5"/>
  <c r="F34" i="5"/>
  <c r="G15" i="772" l="1"/>
  <c r="G15" i="598"/>
  <c r="G15" i="160"/>
  <c r="C23" i="5"/>
  <c r="I23" i="5" s="1"/>
  <c r="C25" i="5"/>
  <c r="I25" i="5" s="1"/>
  <c r="C32" i="5"/>
  <c r="I32" i="5" s="1"/>
  <c r="C24" i="5"/>
  <c r="I24" i="5" s="1"/>
  <c r="C33" i="5"/>
  <c r="I33" i="5" s="1"/>
  <c r="C31" i="5"/>
  <c r="I31" i="5" s="1"/>
  <c r="C29" i="5"/>
  <c r="I29" i="5" s="1"/>
  <c r="C30" i="5"/>
  <c r="I30" i="5" s="1"/>
  <c r="C26" i="5"/>
  <c r="I26" i="5" s="1"/>
  <c r="C28" i="5"/>
  <c r="I28" i="5" s="1"/>
  <c r="C34" i="5"/>
  <c r="I34" i="5" s="1"/>
  <c r="E27" i="5"/>
  <c r="H27" i="5"/>
  <c r="G35" i="5"/>
  <c r="D27" i="5"/>
  <c r="D35" i="5"/>
  <c r="E35" i="5"/>
  <c r="G27" i="5"/>
  <c r="H35" i="5"/>
  <c r="F27" i="5"/>
  <c r="F35" i="5"/>
  <c r="C35" i="5" l="1"/>
  <c r="I35" i="5" s="1"/>
  <c r="C27" i="5"/>
  <c r="I27" i="5" s="1"/>
  <c r="H15" i="59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FunkiS</author>
  </authors>
  <commentList>
    <comment ref="E12" authorId="0" shapeId="0" xr:uid="{B45027A6-6247-4169-9C04-3D0AA8004FC6}">
      <text>
        <r>
          <rPr>
            <sz val="8"/>
            <color indexed="81"/>
            <rFont val="Tahoma"/>
            <family val="2"/>
          </rPr>
          <t>Ange alla de systemnr som OVK-besiktningen omfattar och som är relevanta för den plats där intyget skall anslås. Använd vid behov kommatecken mellan systemnumren.</t>
        </r>
      </text>
    </comment>
    <comment ref="H14" authorId="0" shapeId="0" xr:uid="{512DFCF8-467A-428D-828A-B43F9629CFD7}">
      <text>
        <r>
          <rPr>
            <sz val="8"/>
            <color indexed="81"/>
            <rFont val="Tahoma"/>
            <family val="2"/>
          </rPr>
          <t>Besiktningsdatum för första systemet enligt A-blanketten överförs hit. Om det finns flera datum får man ange detta i anmärkningsfältet nederst på intyget.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FunkiS</author>
  </authors>
  <commentList>
    <comment ref="E12" authorId="0" shapeId="0" xr:uid="{00000000-0006-0000-0B00-000001000000}">
      <text>
        <r>
          <rPr>
            <sz val="8"/>
            <color indexed="81"/>
            <rFont val="Tahoma"/>
            <family val="2"/>
          </rPr>
          <t>Ange alla de systemnr som OVK-besiktningen omfattar och som är relevanta för den plats där intyget skall anslås. Använd vid behov kommatecken mellan systemnumren.</t>
        </r>
      </text>
    </comment>
    <comment ref="H14" authorId="0" shapeId="0" xr:uid="{00000000-0006-0000-0B00-000002000000}">
      <text>
        <r>
          <rPr>
            <sz val="8"/>
            <color indexed="81"/>
            <rFont val="Tahoma"/>
            <family val="2"/>
          </rPr>
          <t>Besiktningsdatum för första systemet enligt A-blanketten överförs hit. Om det finns flera datum får man ange detta i anmärkningsfältet nederst på intyget.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FunkiS</author>
  </authors>
  <commentList>
    <comment ref="E12" authorId="0" shapeId="0" xr:uid="{104AF573-BD4F-402C-9530-FF9A76594B80}">
      <text>
        <r>
          <rPr>
            <sz val="8"/>
            <color indexed="81"/>
            <rFont val="Tahoma"/>
            <family val="2"/>
          </rPr>
          <t>Ange alla de systemnr som OVK-besiktningen omfattar och som är relevanta för den plats där intyget skall anslås. Använd vid behov kommatecken mellan systemnumren.</t>
        </r>
      </text>
    </comment>
    <comment ref="H14" authorId="0" shapeId="0" xr:uid="{7D71F685-FA08-48BD-B252-86BB80B5B21A}">
      <text>
        <r>
          <rPr>
            <sz val="8"/>
            <color indexed="81"/>
            <rFont val="Tahoma"/>
            <family val="2"/>
          </rPr>
          <t>Besiktningsdatum för första systemet enligt A-blanketten överförs hit. Om det finns flera datum får man ange detta i anmärkningsfältet nederst på intyget.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<sst xmlns="http://schemas.openxmlformats.org/spreadsheetml/2006/main" count="837" uniqueCount="599">
  <si>
    <t>1.1</t>
  </si>
  <si>
    <t>1.2</t>
  </si>
  <si>
    <t>1.3</t>
  </si>
  <si>
    <t>1.4</t>
  </si>
  <si>
    <t>1.5</t>
  </si>
  <si>
    <t>2.1</t>
  </si>
  <si>
    <t>2.2</t>
  </si>
  <si>
    <t>2.3</t>
  </si>
  <si>
    <t>2.4</t>
  </si>
  <si>
    <t>2.5</t>
  </si>
  <si>
    <t>2.6</t>
  </si>
  <si>
    <t>2.7</t>
  </si>
  <si>
    <t>2.8</t>
  </si>
  <si>
    <t>2.9</t>
  </si>
  <si>
    <t>2.10</t>
  </si>
  <si>
    <t>3.1</t>
  </si>
  <si>
    <t>3.2</t>
  </si>
  <si>
    <t>3.3</t>
  </si>
  <si>
    <t>3.4</t>
  </si>
  <si>
    <t>3.5</t>
  </si>
  <si>
    <t>3.6</t>
  </si>
  <si>
    <t>3.7</t>
  </si>
  <si>
    <t>3.8</t>
  </si>
  <si>
    <t>3.9</t>
  </si>
  <si>
    <t>3.10</t>
  </si>
  <si>
    <t>4.1</t>
  </si>
  <si>
    <t>4.2</t>
  </si>
  <si>
    <t>4.3</t>
  </si>
  <si>
    <t>4.4</t>
  </si>
  <si>
    <t>4.5</t>
  </si>
  <si>
    <t>4.6</t>
  </si>
  <si>
    <t>Pos</t>
  </si>
  <si>
    <t>Anmärkningar</t>
  </si>
  <si>
    <t>Utfall</t>
  </si>
  <si>
    <t>Betjänar</t>
  </si>
  <si>
    <t>Systemnr</t>
  </si>
  <si>
    <t>Anmärkning</t>
  </si>
  <si>
    <t>C1</t>
  </si>
  <si>
    <t>C2</t>
  </si>
  <si>
    <t>Referens nr:</t>
  </si>
  <si>
    <t>A</t>
  </si>
  <si>
    <t>Byggnadens adress</t>
  </si>
  <si>
    <t>Ort</t>
  </si>
  <si>
    <t>Byggnadsägaren</t>
  </si>
  <si>
    <t>Postadress</t>
  </si>
  <si>
    <t>Nästa ordinarie besiktningsdatum</t>
  </si>
  <si>
    <t>Ingår samtliga ventilationssystem för byggnaden i denna besiktning.</t>
  </si>
  <si>
    <t>Företag</t>
  </si>
  <si>
    <t>Giltighetstid</t>
  </si>
  <si>
    <t>BABS, SBN, Skolöverstyrelsens anvisningar, SPRI:s anvisningar m m.</t>
  </si>
  <si>
    <t xml:space="preserve">Noteringarna skall även ange vilka bygg- eller relationshandlingar som finns som underlag för </t>
  </si>
  <si>
    <t>OVK:n.</t>
  </si>
  <si>
    <t xml:space="preserve">Under A3 skall ett allmänt omdöme om de kontrollerade systemen ges. Det skall skrivas på ett sätt </t>
  </si>
  <si>
    <t xml:space="preserve">som även lekmän kan förstå. De viktigaste resultaten skall anges. Lämpligen kan texten innehålla </t>
  </si>
  <si>
    <r>
      <t xml:space="preserve">noterade brister i </t>
    </r>
    <r>
      <rPr>
        <i/>
        <sz val="10"/>
        <rFont val="Arial"/>
        <family val="2"/>
      </rPr>
      <t>inomhusklimat</t>
    </r>
    <r>
      <rPr>
        <sz val="10"/>
        <rFont val="Arial"/>
        <family val="2"/>
      </rPr>
      <t>).</t>
    </r>
  </si>
  <si>
    <t>Exempel på checklista</t>
  </si>
  <si>
    <t>FUNKTIONER.</t>
  </si>
  <si>
    <t>3.1.1</t>
  </si>
  <si>
    <t>Filterdel.</t>
  </si>
  <si>
    <t>Här kontrolleras bland annat att filterramar tätar mot infästningsanordningar och</t>
  </si>
  <si>
    <t>anslutande luckor.</t>
  </si>
  <si>
    <t>Underpositioner till B-formulärets respektive pos. 1.1-5;  2.1-10;  3.1-10 och 4.1-6.</t>
  </si>
  <si>
    <t>Kostsamma rensningsåtgärder kan undvikas om noggrannhet iakttages vid denna del</t>
  </si>
  <si>
    <t>av kontrollen.</t>
  </si>
  <si>
    <t>Det är viktigt att särskilja B-formulärets respektive pos. Ex.vis bedöms endast föroreningar under</t>
  </si>
  <si>
    <t>pos 2 eftersom funktioner som otäta filterramar, spjäll eller felaktiga styrfunktioner redovisas under</t>
  </si>
  <si>
    <t>3.2.1</t>
  </si>
  <si>
    <t>Batterier.</t>
  </si>
  <si>
    <t>pos. 3. Likaledes kommer ex.vis ett avslitet kilrep mellan motor och fläkt att resultera i uteblivet luft-</t>
  </si>
  <si>
    <t>Pos. 3.2.1, 3.3.1, 3.4.1 och 3.5.1 kontrolleras i förekommande fall i samfunktion.</t>
  </si>
  <si>
    <t>flöde som redovisas under pos. 3.7</t>
  </si>
  <si>
    <t>3.3.1</t>
  </si>
  <si>
    <t>VVX.</t>
  </si>
  <si>
    <t>HANDLINGAR.</t>
  </si>
  <si>
    <t>3.4.1</t>
  </si>
  <si>
    <t>Spjäll.</t>
  </si>
  <si>
    <t xml:space="preserve">1.1.1  </t>
  </si>
  <si>
    <t>Ritningar.</t>
  </si>
  <si>
    <t>För att normalt kunna genomföra en OVK-besiktning behövs visst underlag för att</t>
  </si>
  <si>
    <t>3.5.1</t>
  </si>
  <si>
    <t>Styr / Regler / Övervakning.</t>
  </si>
  <si>
    <t>kunna definiera och systembestämma tillhörighet för respektive aggregat och fläkt.</t>
  </si>
  <si>
    <t>3.6.1</t>
  </si>
  <si>
    <t>Fläktar.</t>
  </si>
  <si>
    <t>1.2.1</t>
  </si>
  <si>
    <t>DU instruktioner.</t>
  </si>
  <si>
    <t>Här kontrolleras samtliga i fläkten ingående komponenter med speciell uppmärksamhet.</t>
  </si>
  <si>
    <t>Bör vara av sådan kvalité att utbildad personal kan sköta, driva och felsöka så att</t>
  </si>
  <si>
    <t xml:space="preserve">T.ex. på att det mellan fläkt och höljen kan finnas dukstosar eller andra </t>
  </si>
  <si>
    <t>ventilationssystemet uppfyller normkrav.</t>
  </si>
  <si>
    <t xml:space="preserve">vibrationsdämpande anordningar som kan vara defekta så att luften endast cirkulerar </t>
  </si>
  <si>
    <t xml:space="preserve">För enklare system bör instruktioner ej vara skrivna i alltför tekniska termer utan </t>
  </si>
  <si>
    <t xml:space="preserve">inom aggregat eller i fläktrum. Det bör i detta sammanhang påpekas att äldre aggregat </t>
  </si>
  <si>
    <t>anpassas efter användarna.</t>
  </si>
  <si>
    <t xml:space="preserve">och fläktar kan vara av hög kvalité och i många fall kan återställas i gott skick </t>
  </si>
  <si>
    <t>1.3.1</t>
  </si>
  <si>
    <t>Föregående OVK-protokoll.</t>
  </si>
  <si>
    <t>Om detta är tillgängligt och utfört enligt de regler som gäller för OVK-besiktningar</t>
  </si>
  <si>
    <t>3.7.1</t>
  </si>
  <si>
    <t>Luftflöden.</t>
  </si>
  <si>
    <t>kan systembestämning underlättas.</t>
  </si>
  <si>
    <t xml:space="preserve">Observera skrivningen i pos. 1.4.1 och 1.5.1  Luftflöden kan av olika skäl ha projekterats </t>
  </si>
  <si>
    <t xml:space="preserve">för högre flöden än normerna kräver.     </t>
  </si>
  <si>
    <t xml:space="preserve">Konferensrum, kontor, klassrum mm som används av flera personer än vad som är avsett </t>
  </si>
  <si>
    <t>1.4.1</t>
  </si>
  <si>
    <t>Projekterade värden / luftflödesprotokoll.</t>
  </si>
  <si>
    <t>noteras och delges normalt till uppdragsgivaren.</t>
  </si>
  <si>
    <t>3.8.1</t>
  </si>
  <si>
    <t>Kanaler.</t>
  </si>
  <si>
    <t>Här  anges bland annat skador på kanaler som påverkar luftflöden och avsedda</t>
  </si>
  <si>
    <t>funktioner.</t>
  </si>
  <si>
    <t>1.5.1</t>
  </si>
  <si>
    <t>Övrigt.</t>
  </si>
  <si>
    <t>Här kan anges avvikande / kompletterande underlag samt eventuella dispenser.</t>
  </si>
  <si>
    <t>3.9.1</t>
  </si>
  <si>
    <t>Don.</t>
  </si>
  <si>
    <t>Här kan anges felaktiga don ex.vis direktanslutna köks- och WCfläktar *samt ventiler</t>
  </si>
  <si>
    <t>som hindrar eller stryper luftflöden och fria areor jämfört med gällande bestämmelser</t>
  </si>
  <si>
    <t xml:space="preserve">för självdragssystem. </t>
  </si>
  <si>
    <t>*Ur besiktningssynpunkt betraktas dessa som ”don” då de normalt är avstängda.</t>
  </si>
  <si>
    <t>3.10.1</t>
  </si>
  <si>
    <t>Notera vid behov övriga väsentliga iakttagelser t.ex att brandsäkerhetskrav uppfylles.</t>
  </si>
  <si>
    <t>Om kylanläggningar finnes och bedöms ingå i OVK-besiktningen kan denna redovisas.</t>
  </si>
  <si>
    <t>2.</t>
  </si>
  <si>
    <t>FÖRORENINGAR.</t>
  </si>
  <si>
    <t xml:space="preserve">4. </t>
  </si>
  <si>
    <t>KLIMAT.</t>
  </si>
  <si>
    <t>2.1.1</t>
  </si>
  <si>
    <t>Uteluftkanal.</t>
  </si>
  <si>
    <t>4.1.1</t>
  </si>
  <si>
    <t>Temperatur.</t>
  </si>
  <si>
    <t>Här anges normalt föroreningar från intagsgaller till intagsöppning i aggregat / fläkt.</t>
  </si>
  <si>
    <t>Kontrollera stickprovsvis och med hänsyn till ”Brukarsynpunkter” tilluft-</t>
  </si>
  <si>
    <t>och rumstemperaturer. Hög eller låg temperatur kan bero på felaktiga funktioner.</t>
  </si>
  <si>
    <t>2.2.1</t>
  </si>
  <si>
    <t xml:space="preserve">Var uppmärksam på att uppvärmning av lokaler normalt ej sker med </t>
  </si>
  <si>
    <t>Här anges t.ex. om filter är igensatta samt när filterbyte har skett och om vassa kanter</t>
  </si>
  <si>
    <t>ventilationssystemet.</t>
  </si>
  <si>
    <t>finnes som kan skära sönder filter vid byten.</t>
  </si>
  <si>
    <t>Notera om värme och kylsystem ej samkörs och delge detta till uppdragsgivaren.</t>
  </si>
  <si>
    <t xml:space="preserve">Om filter är igensatta eller av andra skäl ej ändamålsenliga kan och bör ej </t>
  </si>
  <si>
    <t>luftflödesmätningar utföras d.v.s. ändamålet med besiktningen kan inte uppnås.</t>
  </si>
  <si>
    <t>4.2.1</t>
  </si>
  <si>
    <t>Odör.</t>
  </si>
  <si>
    <t xml:space="preserve">Var observant på om det förekommer odörer från t.ex. kök, mögel, kemikalier, avlopp, </t>
  </si>
  <si>
    <t>2.3.1</t>
  </si>
  <si>
    <t>Batteri/-er.</t>
  </si>
  <si>
    <t>avgaser mm.</t>
  </si>
  <si>
    <t>Kontrollera att batterierna ej är igensatta av föroreningar eller skadade.</t>
  </si>
  <si>
    <t>4.3.1</t>
  </si>
  <si>
    <t>Drag.</t>
  </si>
  <si>
    <t>2.4.1</t>
  </si>
  <si>
    <t>VVX av olika typer.</t>
  </si>
  <si>
    <t>Här noteras ex.vis drag från tilluftdon, uteluftdon, fönster mm.</t>
  </si>
  <si>
    <t>Kontrollera att värmeväxlarna ej är igensatta av föroreningar.</t>
  </si>
  <si>
    <t>4.4.1</t>
  </si>
  <si>
    <t>Ljud.</t>
  </si>
  <si>
    <t>2.5.1</t>
  </si>
  <si>
    <t>Fläktdel.</t>
  </si>
  <si>
    <t>Om störande ljud, buller mm. finns som överstiger gällande normer / bestämmelser</t>
  </si>
  <si>
    <t xml:space="preserve">Kontrollera att det är rent. </t>
  </si>
  <si>
    <t>skall detta verifieras med ljudmätningar som utförts med godkänd metod.</t>
  </si>
  <si>
    <t>2.6.1</t>
  </si>
  <si>
    <t>4.5.1</t>
  </si>
  <si>
    <t>Brukarsynpunkter.</t>
  </si>
  <si>
    <t xml:space="preserve">Om föroreningar finns i aggregat eller kanaler efter filterbankar kan ett funktionsfel </t>
  </si>
  <si>
    <t>Här kan en hyresgästenkät ge värdefull information.</t>
  </si>
  <si>
    <t>finnas. Observera</t>
  </si>
  <si>
    <t xml:space="preserve"> att repdrifter som slirar eller att remskivor som ej centrerats kan</t>
  </si>
  <si>
    <t>orsaka kraftig försmutsning.</t>
  </si>
  <si>
    <t>4.6.1</t>
  </si>
  <si>
    <t xml:space="preserve">Observera att frånluftkanaler i ett återluftsystem ur besiktningssynpunkt betraktas </t>
  </si>
  <si>
    <t>Notera vid behov övriga väsentliga iakttagelser.</t>
  </si>
  <si>
    <t>som tilluftkanal och att WC och rökrum ej har anslutits.</t>
  </si>
  <si>
    <t>2.7.1</t>
  </si>
  <si>
    <t>Försmutsade don ger ökade tryckfall och skall vara fria från föroreningar.</t>
  </si>
  <si>
    <t>2.8.1</t>
  </si>
  <si>
    <t>Rensningsmöjligheter och inspektionsmöjligheter.</t>
  </si>
  <si>
    <t>Olika metoder finns för att konstatera renhet och att rensa.</t>
  </si>
  <si>
    <t>För inspektion kan hål borras i samband med luftmängdsmätning och att ett optiskt</t>
  </si>
  <si>
    <t>instrument kan användas. En så kallad ” Tittpinne ”.</t>
  </si>
  <si>
    <t xml:space="preserve">Behovet av antal rensluckor och placering avgöres av aktuell rensmetod om rensning </t>
  </si>
  <si>
    <t>2.9.1</t>
  </si>
  <si>
    <t>Fläktrum.</t>
  </si>
  <si>
    <t>finns i utrymmet. Fläktrummet är inte ett förråd, bland annat av brandsäkerhetsskäl.</t>
  </si>
  <si>
    <t>Här kontrolleras att golvbrunnar och andra avvattningsanordningar ej kan</t>
  </si>
  <si>
    <t>tillföra avloppslukt och därmed föroreningar till ventilationssystemet.</t>
  </si>
  <si>
    <t>2.10.1</t>
  </si>
  <si>
    <t xml:space="preserve">Övriga utrymmen och komponenter kan redovisas här. </t>
  </si>
  <si>
    <t>Förflyttning i Checklistan sker genom att använda piltangeterna! Utskrift = Första sidan = sid 1 osv.</t>
  </si>
  <si>
    <t>Besiktningsprotokoll</t>
  </si>
  <si>
    <t>Postnr</t>
  </si>
  <si>
    <t>Telefonnr</t>
  </si>
  <si>
    <t>Fax / e-post</t>
  </si>
  <si>
    <r>
      <t>BRA  i m</t>
    </r>
    <r>
      <rPr>
        <vertAlign val="superscript"/>
        <sz val="7"/>
        <rFont val="Arial"/>
        <family val="2"/>
      </rPr>
      <t>2</t>
    </r>
  </si>
  <si>
    <t>Fastighetsbeteckning</t>
  </si>
  <si>
    <t>Sidnr.</t>
  </si>
  <si>
    <t>Flödesenhet</t>
  </si>
  <si>
    <t>Datum</t>
  </si>
  <si>
    <t>Uppmätt</t>
  </si>
  <si>
    <t>Tilluft</t>
  </si>
  <si>
    <t>Frånluft</t>
  </si>
  <si>
    <t>Mättekniker</t>
  </si>
  <si>
    <t>Signatur</t>
  </si>
  <si>
    <t>Åtgärdsblankett</t>
  </si>
  <si>
    <t>D1</t>
  </si>
  <si>
    <t>D2</t>
  </si>
  <si>
    <t>Kostnad kr</t>
  </si>
  <si>
    <t>Ritning</t>
  </si>
  <si>
    <t>Ant. lokaler</t>
  </si>
  <si>
    <t>Telefon nr</t>
  </si>
  <si>
    <t>golvarea)</t>
  </si>
  <si>
    <t>med enkla åtgärder</t>
  </si>
  <si>
    <t>Jämför här med grundförutsättningen för OVK ”fungera i ursprungligt skick”.</t>
  </si>
  <si>
    <r>
      <t xml:space="preserve">Om dessa saknas skall av i SFS 1991:1273 och </t>
    </r>
    <r>
      <rPr>
        <b/>
        <sz val="10"/>
        <rFont val="Arial"/>
        <family val="2"/>
      </rPr>
      <t xml:space="preserve"> P</t>
    </r>
    <r>
      <rPr>
        <sz val="10"/>
        <rFont val="Arial"/>
        <family val="2"/>
      </rPr>
      <t>lan och</t>
    </r>
    <r>
      <rPr>
        <b/>
        <sz val="10"/>
        <rFont val="Arial"/>
        <family val="2"/>
      </rPr>
      <t xml:space="preserve"> B</t>
    </r>
    <r>
      <rPr>
        <sz val="10"/>
        <rFont val="Arial"/>
        <family val="2"/>
      </rPr>
      <t>ygg</t>
    </r>
    <r>
      <rPr>
        <b/>
        <sz val="10"/>
        <rFont val="Arial"/>
        <family val="2"/>
      </rPr>
      <t xml:space="preserve"> L</t>
    </r>
    <r>
      <rPr>
        <sz val="10"/>
        <rFont val="Arial"/>
        <family val="2"/>
      </rPr>
      <t xml:space="preserve">agen, tillämpliga </t>
    </r>
  </si>
  <si>
    <t>föreskrifter / bestämmelser samt gällande föreskrifter i, t.ex. SBN tillämpas.</t>
  </si>
  <si>
    <t>erfordras.</t>
  </si>
  <si>
    <t>Kontrollera att det är rent och att endast material som tillhör ventilationssystemet</t>
  </si>
  <si>
    <t>Besiktningsdatum</t>
  </si>
  <si>
    <t>Notering</t>
  </si>
  <si>
    <t>Besiktningsman</t>
  </si>
  <si>
    <t>L1</t>
  </si>
  <si>
    <t>L2</t>
  </si>
  <si>
    <t>Projekterad</t>
  </si>
  <si>
    <t xml:space="preserve">Uppmätt </t>
  </si>
  <si>
    <t>% av proj</t>
  </si>
  <si>
    <t>Mät-</t>
  </si>
  <si>
    <t>% avproj</t>
  </si>
  <si>
    <t>Anm.</t>
  </si>
  <si>
    <t>Rum. nr.</t>
  </si>
  <si>
    <t>Benämning</t>
  </si>
  <si>
    <t xml:space="preserve">Tilluft </t>
  </si>
  <si>
    <t>metod</t>
  </si>
  <si>
    <t>Byggnadsnr</t>
  </si>
  <si>
    <t>EG</t>
  </si>
  <si>
    <t>Systemtyp</t>
  </si>
  <si>
    <t>S</t>
  </si>
  <si>
    <t>F</t>
  </si>
  <si>
    <t>FT</t>
  </si>
  <si>
    <t>FTX</t>
  </si>
  <si>
    <t>Aggregatprotokoll</t>
  </si>
  <si>
    <t>Motordata</t>
  </si>
  <si>
    <t>Fabrikat</t>
  </si>
  <si>
    <t>Fabrikat, typ</t>
  </si>
  <si>
    <t>Typ</t>
  </si>
  <si>
    <t>Placering</t>
  </si>
  <si>
    <t>Märkström A</t>
  </si>
  <si>
    <t>q tot l/s</t>
  </si>
  <si>
    <t>+</t>
  </si>
  <si>
    <t>-</t>
  </si>
  <si>
    <t>VVX TYP</t>
  </si>
  <si>
    <t>Roterande</t>
  </si>
  <si>
    <t>Platt</t>
  </si>
  <si>
    <t>Vätskekopplad</t>
  </si>
  <si>
    <t>Besiktnings  resultat</t>
  </si>
  <si>
    <t>Byggnadsnamn</t>
  </si>
  <si>
    <t>Ant. Lgh</t>
  </si>
  <si>
    <t>Internt byggnadsnr</t>
  </si>
  <si>
    <t>Faktureringsadress</t>
  </si>
  <si>
    <t>INTYG</t>
  </si>
  <si>
    <t>Internt byggnadsnamn</t>
  </si>
  <si>
    <t>Fastighetsansvarig/Förvaltare</t>
  </si>
  <si>
    <t>Verksamhet</t>
  </si>
  <si>
    <t>Projekterat värde</t>
  </si>
  <si>
    <t>Uppmätt värde</t>
  </si>
  <si>
    <t>SFPv kw/m³/s</t>
  </si>
  <si>
    <r>
      <t>Fyll i alla gråa fält för att beräkna SFP</t>
    </r>
    <r>
      <rPr>
        <b/>
        <vertAlign val="subscript"/>
        <sz val="8"/>
        <rFont val="Arial"/>
        <family val="2"/>
      </rPr>
      <t>v</t>
    </r>
  </si>
  <si>
    <t>E1</t>
  </si>
  <si>
    <t>E2</t>
  </si>
  <si>
    <t>E3</t>
  </si>
  <si>
    <t>Datum och systemnummer fylls i av besiktningsman.</t>
  </si>
  <si>
    <t>Övriga fält:</t>
  </si>
  <si>
    <t>Efter överenskommelse med beställare kan övriga fält fyllas i för att bl.a. förbereda och</t>
  </si>
  <si>
    <t>underlätta energideklarationen.</t>
  </si>
  <si>
    <r>
      <t>Drifttimmar/vecka</t>
    </r>
    <r>
      <rPr>
        <b/>
        <sz val="10"/>
        <rFont val="Arial"/>
        <family val="2"/>
      </rPr>
      <t>*</t>
    </r>
  </si>
  <si>
    <t>Kors</t>
  </si>
  <si>
    <t>Frekvens Hz uppmätt flöde</t>
  </si>
  <si>
    <t>Framåtböjda</t>
  </si>
  <si>
    <t>Bakåtböjda</t>
  </si>
  <si>
    <t>Typ/Klass</t>
  </si>
  <si>
    <r>
      <t>D</t>
    </r>
    <r>
      <rPr>
        <sz val="9"/>
        <rFont val="Arial"/>
        <family val="2"/>
      </rPr>
      <t>p värmebatteri Pa</t>
    </r>
  </si>
  <si>
    <r>
      <t>D</t>
    </r>
    <r>
      <rPr>
        <sz val="9"/>
        <rFont val="Arial"/>
        <family val="2"/>
      </rPr>
      <t>p kylbatteri Pa</t>
    </r>
  </si>
  <si>
    <r>
      <t>D</t>
    </r>
    <r>
      <rPr>
        <sz val="9"/>
        <rFont val="Arial"/>
        <family val="2"/>
      </rPr>
      <t>p efter filter Pa</t>
    </r>
  </si>
  <si>
    <r>
      <t>D</t>
    </r>
    <r>
      <rPr>
        <sz val="9"/>
        <rFont val="Arial"/>
        <family val="2"/>
      </rPr>
      <t>p vvx Pa</t>
    </r>
  </si>
  <si>
    <t>Filter</t>
  </si>
  <si>
    <t>F6</t>
  </si>
  <si>
    <t>F7</t>
  </si>
  <si>
    <t>F8</t>
  </si>
  <si>
    <t>F9</t>
  </si>
  <si>
    <t>Antal påsar</t>
  </si>
  <si>
    <r>
      <t>Tot area m</t>
    </r>
    <r>
      <rPr>
        <vertAlign val="superscript"/>
        <sz val="8"/>
        <rFont val="Arial"/>
        <family val="2"/>
      </rPr>
      <t>2</t>
    </r>
  </si>
  <si>
    <t>Höjd(cm)</t>
  </si>
  <si>
    <t>Bredd(cm)</t>
  </si>
  <si>
    <t>Djup(cm)</t>
  </si>
  <si>
    <t>Ant. filter</t>
  </si>
  <si>
    <t xml:space="preserve">*Obligatoriskt fält för att uppfylla SFS 1991:1273 med ändringar </t>
  </si>
  <si>
    <t xml:space="preserve">  t.o.m. SFS 2006:1296</t>
  </si>
  <si>
    <t>Aggregatbenämning</t>
  </si>
  <si>
    <t>Namnteckning</t>
  </si>
  <si>
    <r>
      <t xml:space="preserve">uppgifter om </t>
    </r>
    <r>
      <rPr>
        <i/>
        <sz val="10"/>
        <rFont val="Arial"/>
        <family val="2"/>
      </rPr>
      <t>dokumentation, funktioner, föroreningar, underhåll</t>
    </r>
    <r>
      <rPr>
        <sz val="10"/>
        <rFont val="Arial"/>
        <family val="2"/>
      </rPr>
      <t xml:space="preserve"> samt brukarsynpunkter (samt ev. </t>
    </r>
  </si>
  <si>
    <t xml:space="preserve">Effektberäkning: </t>
  </si>
  <si>
    <t>Resistiv effekt</t>
  </si>
  <si>
    <t>P = U x I</t>
  </si>
  <si>
    <r>
      <t xml:space="preserve">P = U x I x cos </t>
    </r>
    <r>
      <rPr>
        <sz val="10"/>
        <rFont val="Symbol"/>
        <family val="1"/>
        <charset val="2"/>
      </rPr>
      <t>f</t>
    </r>
  </si>
  <si>
    <t>P</t>
  </si>
  <si>
    <t>U</t>
  </si>
  <si>
    <t>I</t>
  </si>
  <si>
    <t>Strömstyrka A</t>
  </si>
  <si>
    <t>Effekt kW</t>
  </si>
  <si>
    <t>Spänning V</t>
  </si>
  <si>
    <r>
      <t xml:space="preserve">cos </t>
    </r>
    <r>
      <rPr>
        <sz val="10"/>
        <rFont val="Symbol"/>
        <family val="1"/>
        <charset val="2"/>
      </rPr>
      <t>f</t>
    </r>
  </si>
  <si>
    <t>Fasförskjutningen</t>
  </si>
  <si>
    <t>Effektfaktor</t>
  </si>
  <si>
    <r>
      <t xml:space="preserve">P = U x I x cos </t>
    </r>
    <r>
      <rPr>
        <sz val="10"/>
        <rFont val="Symbol"/>
        <family val="1"/>
        <charset val="2"/>
      </rPr>
      <t xml:space="preserve">f </t>
    </r>
    <r>
      <rPr>
        <sz val="10"/>
        <rFont val="@Arial Unicode MS"/>
        <family val="2"/>
      </rPr>
      <t xml:space="preserve">x </t>
    </r>
    <r>
      <rPr>
        <sz val="10"/>
        <rFont val="Symbol"/>
        <family val="1"/>
        <charset val="2"/>
      </rPr>
      <t>Ö3</t>
    </r>
  </si>
  <si>
    <t>Enfaseffekt</t>
  </si>
  <si>
    <t>Trefaseffekt</t>
  </si>
  <si>
    <t>Ö3</t>
  </si>
  <si>
    <t>Helfart</t>
  </si>
  <si>
    <t>Delfart</t>
  </si>
  <si>
    <t>pt Pa</t>
  </si>
  <si>
    <t>pk Pa</t>
  </si>
  <si>
    <t>P Märkeffekt kW *</t>
  </si>
  <si>
    <t>Pmätt effekt kW</t>
  </si>
  <si>
    <t>cos φ</t>
  </si>
  <si>
    <t>Fläkthjul, typ</t>
  </si>
  <si>
    <t>Fläktskiva:diam mm</t>
  </si>
  <si>
    <t>Motorskiva:diam mm</t>
  </si>
  <si>
    <t>Varvtal n/min</t>
  </si>
  <si>
    <r>
      <t xml:space="preserve">Agg.benämning </t>
    </r>
    <r>
      <rPr>
        <b/>
        <sz val="10"/>
        <rFont val="Arial"/>
        <family val="2"/>
      </rPr>
      <t>*</t>
    </r>
  </si>
  <si>
    <t>Tillufttemp behandl °C</t>
  </si>
  <si>
    <t>Frånlufttemp °C</t>
  </si>
  <si>
    <r>
      <t>n</t>
    </r>
    <r>
      <rPr>
        <vertAlign val="subscript"/>
        <sz val="9"/>
        <rFont val="Arial"/>
        <family val="2"/>
      </rPr>
      <t xml:space="preserve">fl </t>
    </r>
    <r>
      <rPr>
        <sz val="9"/>
        <rFont val="Arial"/>
        <family val="2"/>
      </rPr>
      <t>Fläktvarvtal n/min</t>
    </r>
  </si>
  <si>
    <t>Protokoll finns att tillgå hos byggnadens ägare och hos kommunens byggnadsnämnd</t>
  </si>
  <si>
    <t>Ombesiktning datum</t>
  </si>
  <si>
    <t>Behörighetsnivå</t>
  </si>
  <si>
    <t xml:space="preserve">    m³/h    l/s</t>
  </si>
  <si>
    <t xml:space="preserve">skall alltid "Verksamhet" och "BRA", bruksarea fyllas i. (Bruksarea är i detta sammanhang netto golvarea </t>
  </si>
  <si>
    <t>Bes.kat.</t>
  </si>
  <si>
    <t>Ort / Underskriftsdatum</t>
  </si>
  <si>
    <t xml:space="preserve">Om det finns fler ventilationsystem i byggnaden så kopiera E_1 och byt bladets namn till E_2 etc. </t>
  </si>
  <si>
    <t>Referensnummer</t>
  </si>
  <si>
    <t>Systemnummer</t>
  </si>
  <si>
    <t>Märkeffekter</t>
  </si>
  <si>
    <t>Luftflöde</t>
  </si>
  <si>
    <t>Driftstider/Märkeffekt</t>
  </si>
  <si>
    <t>Certiferingsorgan</t>
  </si>
  <si>
    <t>Cert.nummer</t>
  </si>
  <si>
    <t>Adress</t>
  </si>
  <si>
    <t>Cert.nr</t>
  </si>
  <si>
    <t>Cert.organ</t>
  </si>
  <si>
    <t>Protokoll OVK</t>
  </si>
  <si>
    <t>Obligatorisk Ventilationskontroll</t>
  </si>
  <si>
    <t>B1</t>
  </si>
  <si>
    <t>Resultat</t>
  </si>
  <si>
    <t>Fläktar och aggregat som ingår i det samhörande systemet</t>
  </si>
  <si>
    <t>B2</t>
  </si>
  <si>
    <t>Systemdel</t>
  </si>
  <si>
    <t>Fläkttyp</t>
  </si>
  <si>
    <t>Inst.år</t>
  </si>
  <si>
    <t>B3</t>
  </si>
  <si>
    <t>Handlingar</t>
  </si>
  <si>
    <t>Ritningar</t>
  </si>
  <si>
    <t>DU-instruktioner</t>
  </si>
  <si>
    <t>Föregående OVK-protokoll</t>
  </si>
  <si>
    <t>Proj. värden/luftflödesprotokoll</t>
  </si>
  <si>
    <t>Övrigt</t>
  </si>
  <si>
    <t>Föroreningar</t>
  </si>
  <si>
    <t>Uteluftskanal</t>
  </si>
  <si>
    <t>Filterdel</t>
  </si>
  <si>
    <t>Batterier</t>
  </si>
  <si>
    <t>VVX</t>
  </si>
  <si>
    <t>Fläktdel</t>
  </si>
  <si>
    <t>Kanaler</t>
  </si>
  <si>
    <t>Don</t>
  </si>
  <si>
    <t>Rensningsmöjligheter</t>
  </si>
  <si>
    <t>Fläktrum</t>
  </si>
  <si>
    <t>Funktioner</t>
  </si>
  <si>
    <t>Spjäll</t>
  </si>
  <si>
    <t>Styr/Regler/Övervakning</t>
  </si>
  <si>
    <t>Fläktar</t>
  </si>
  <si>
    <t>Luftflöden</t>
  </si>
  <si>
    <t>Möjliga energibesparande åtgärder i systemet</t>
  </si>
  <si>
    <t>Klimat</t>
  </si>
  <si>
    <t>Temperatur</t>
  </si>
  <si>
    <t>Odör</t>
  </si>
  <si>
    <t>Drag</t>
  </si>
  <si>
    <t>Ljud</t>
  </si>
  <si>
    <t>Brukarsynpunkter</t>
  </si>
  <si>
    <t>Uppdragstyp</t>
  </si>
  <si>
    <t>Bilagor</t>
  </si>
  <si>
    <t>Bil.Beteckn.</t>
  </si>
  <si>
    <t>Ombesiktn.     datum</t>
  </si>
  <si>
    <t>1:a besiktning</t>
  </si>
  <si>
    <t>C: Anmärkning</t>
  </si>
  <si>
    <t>Återkommande besiktning</t>
  </si>
  <si>
    <t>D: Åtgärder</t>
  </si>
  <si>
    <t>Ombesiktning</t>
  </si>
  <si>
    <t>Utökad kontroll</t>
  </si>
  <si>
    <t>Egenkontroll</t>
  </si>
  <si>
    <t>T</t>
  </si>
  <si>
    <t>0. Inga energibesparande åtgärder</t>
  </si>
  <si>
    <t>1. Veckovis loggning för kartläggning av drift bör genomföras som underlag för åtgärder.</t>
  </si>
  <si>
    <t>2. Ändrade drifttider.</t>
  </si>
  <si>
    <t>3. Sänkning av tilluftstemperatur.</t>
  </si>
  <si>
    <t>4. Minskning av luftflöde genom byte av remskiva eller anpassning via frekvensstyrare.</t>
  </si>
  <si>
    <t>5. Minskning av luftflöde genom byte av fläktmotor.</t>
  </si>
  <si>
    <t>6. Behovsstyrning av luftflöde genom installation av hel- och halvfartsmotor.</t>
  </si>
  <si>
    <t>7. Behovsstyrning av luftflöde genom installation av frekvensomformare.</t>
  </si>
  <si>
    <t>8. Utbyte av fläktmotor för högre verkningsgrad.</t>
  </si>
  <si>
    <t>9. Rengöring av värmeåtervinnare och andra aggregatdelar samt kanalsystem inkl. till och frånluftdon för att nå högre verkningsgrad.</t>
  </si>
  <si>
    <t>10.Ändring av styr- och regler för värmeåtervinnare för att nå högre årsverkningsgrad,  t ex ändrade börvärden för avfrostning.</t>
  </si>
  <si>
    <t>11.Nattventilation sommartid.</t>
  </si>
  <si>
    <t>12.Utbyte av styr- och övervakning för att energieffektivare drift.</t>
  </si>
  <si>
    <t>13.Komplettera isolering på kanaldelar i system med luftburen kyla.</t>
  </si>
  <si>
    <t>14.Byt ut till och frånluftdon, anslutningslådor, böjar, etc för att uppnå mindre tryckfall.</t>
  </si>
  <si>
    <t>15.Ändring av vätskeflöde i vätskekopplade värmeåtervinningssystem för att nå högre verkningsgrad.</t>
  </si>
  <si>
    <t>16.Utbyte av frysskyddstillsatser i värmeåtervinningssystem för att nå högre verkningsgrad.</t>
  </si>
  <si>
    <t>17.Installation av värmeåtervinning med ventilationsvärmeväxlare.</t>
  </si>
  <si>
    <t>18.Tätning av läckande kanal- eller aggregatdelar.</t>
  </si>
  <si>
    <t>19.Tillvaratagande av kondensorvärme från kylmaskin.</t>
  </si>
  <si>
    <t>20.Utnyttjande av frånluft som tilluft till garage eller annan lokal.</t>
  </si>
  <si>
    <t>21.Installation av verkningsgradsmätare för värmeåtervinningssystem för kontroll av temperaturverkningsgrad.</t>
  </si>
  <si>
    <t>22.Installation av flödesmätare, t ex Q-dysa för kontroll av luftflöde.</t>
  </si>
  <si>
    <t>23.Ändring av felaktiga inställningar.</t>
  </si>
  <si>
    <t>24.Ta bort fuktare t.ex i kombination med sänkt rumstemperatur.</t>
  </si>
  <si>
    <t>25.Ta bort fuktare, minska omfattning genom att installera fuktare i de rum som erfordrar luftfuktning.</t>
  </si>
  <si>
    <t>26.Injustera kanalsystem enl. proportionalitetsmetoden.</t>
  </si>
  <si>
    <t>27.Byt ut elbatteri till vattenburet batteri och värmeväxlare.</t>
  </si>
  <si>
    <t>28.Anpassa luftflöden till gällande verksamhet.</t>
  </si>
  <si>
    <t>29.Se till att temperaturreglering för ventilation och kyla ej motarbetar varandra.</t>
  </si>
  <si>
    <t>30.Installera närvarogivare och VAV-spjäll för behovsstyrning.</t>
  </si>
  <si>
    <t>31.Övrig åtgärd, specificera.</t>
  </si>
  <si>
    <t>B_mall</t>
  </si>
  <si>
    <r>
      <t>A2 - Besiktningsutlåtande</t>
    </r>
    <r>
      <rPr>
        <sz val="10"/>
        <rFont val="Arial"/>
        <family val="2"/>
      </rPr>
      <t xml:space="preserve"> (+ sammanställning av system inom byggnaden)</t>
    </r>
  </si>
  <si>
    <t>A1 - Byggnad</t>
  </si>
  <si>
    <t>Bilaga          (B-sida)</t>
  </si>
  <si>
    <t>A3 - Allmänt omdöme, kommentarer, uppgifter om besiktningsman.</t>
  </si>
  <si>
    <t>Besiktningsprotokollets omfattning</t>
  </si>
  <si>
    <t>Ett besiktningsprotokoll för funktionskontroll av ventilationssystem, OVK,</t>
  </si>
  <si>
    <t>enligt SFS 1991:1273 med ändringar SFS 2006:1296 skall minst innehålla:</t>
  </si>
  <si>
    <t xml:space="preserve">A-blankett för varje byggnad </t>
  </si>
  <si>
    <t>B-blankett för varje ventilationssystem, dvs. samtliga aggregat/fläktar typ F eller T</t>
  </si>
  <si>
    <t xml:space="preserve">med tillhörande uteluftintag/avluftsöppningar, som samkör och betjänar en byggnad </t>
  </si>
  <si>
    <t>eller en avgrännsad byggnadsdel.(B1…B13)</t>
  </si>
  <si>
    <t>C1-blankett, vid behov om utrymmet på B-blanketten ej räcker till (C1…Cn)</t>
  </si>
  <si>
    <t>L1-blankett med uppgifter om luftflöde, driftstider och märkeffekter (L1…Ln)</t>
  </si>
  <si>
    <t>Intyg om utförd besiktning</t>
  </si>
  <si>
    <t>Frivilliga tilläggsblanketter är:</t>
  </si>
  <si>
    <t>D1-blankett för åtgärder för avhjälpande av anmärkningar</t>
  </si>
  <si>
    <t xml:space="preserve">E1-blankett som är ett omfattande aggregatprotokoll, som bl.a. Beräknar SFP-värde </t>
  </si>
  <si>
    <t>Vid utskrift markeras de blad i boken som behövs. Skriv ej ut B_mallen!</t>
  </si>
  <si>
    <t>Instruktion för användaren</t>
  </si>
  <si>
    <t>Öppna mallfilen, ge den nytt namn och spara den en i en egen arbetsmapp</t>
  </si>
  <si>
    <t>Skydd</t>
  </si>
  <si>
    <t>Excelfilens blad har ett lösenordsskydd som är anpassat till den tänkta användningen.</t>
  </si>
  <si>
    <t>Lösenordet lämnas ej ut.</t>
  </si>
  <si>
    <t>A-blanketten. Denna frihet kräver att du har tillräckliga kunskaper i Excel för att undvika</t>
  </si>
  <si>
    <t>ofrivilliga misstag.</t>
  </si>
  <si>
    <t>B_mallen</t>
  </si>
  <si>
    <t xml:space="preserve">Denna blankett skall inte röras eller användas. Om du av misstag tar bort den så får du kopiera in </t>
  </si>
  <si>
    <t>den på nytt från din sparade grundfil.</t>
  </si>
  <si>
    <t>B-blanketter</t>
  </si>
  <si>
    <t>Skapas genom klickning på knapp i A-blankettens A2-dels vänstermarginal.</t>
  </si>
  <si>
    <t>Kan tas bort genom klickning på knapp i A-blankettens A2-dels högermarginal</t>
  </si>
  <si>
    <t>Det finns plats för 13 system.(B1…B13)</t>
  </si>
  <si>
    <t xml:space="preserve">Gula fält </t>
  </si>
  <si>
    <t>Gula fält skall inte fyllas i. Detta sker automatisk enligt följande:</t>
  </si>
  <si>
    <t>A-blanketten</t>
  </si>
  <si>
    <t>De gula A2-fälten fylls med data som hämtas från skapade B-blanketter</t>
  </si>
  <si>
    <t>Gula fält fylls med data som hämtas från A-blankettens fält A1 respektive A3</t>
  </si>
  <si>
    <t>Logotyper</t>
  </si>
  <si>
    <t>Den beräknas med hjälp av indata i cell för "Bes kat(0-4)" och "Besiktningsdatum".</t>
  </si>
  <si>
    <t>Du måste ha funktionen "EDATUM" för att detta skall bli korrekt beräknat.</t>
  </si>
  <si>
    <t>Den finns i Excel 2007 och kan tilläggas från tidigare versioners programskiva.</t>
  </si>
  <si>
    <t>IFYLLANDE</t>
  </si>
  <si>
    <t>Här nedan föreslås en lämplig turordning för ifyllande av data</t>
  </si>
  <si>
    <t>A1</t>
  </si>
  <si>
    <t xml:space="preserve">Under A1 skall alltid de två första raderna fyllas i medan de tre följande används vid behov, dock </t>
  </si>
  <si>
    <t xml:space="preserve">exkl. ytterväggar men med eller utan innerväggar inräknade; i trapphus räknas varje våningsplan som </t>
  </si>
  <si>
    <t>A3</t>
  </si>
  <si>
    <t>Fyll i sista delen med fakta om besiktningsmannen</t>
  </si>
  <si>
    <t>(Här sker så småningom även underskriften av protokollet.)</t>
  </si>
  <si>
    <t>A2</t>
  </si>
  <si>
    <t>Klicka på knappen i A2-delens vänstermarginal så får du fram B1-blanketten</t>
  </si>
  <si>
    <t>När denna öppnas ser du att uppgifterna om referensnummer, fastighetsbeteckning, internt byggnadsnr</t>
  </si>
  <si>
    <t>är ifyllda.</t>
  </si>
  <si>
    <t>Fyll i Systemnummer och välj in listdata för Systemtyp och Bes kat(0-4)</t>
  </si>
  <si>
    <t>Fyll i Besiktningsdatum</t>
  </si>
  <si>
    <t>Gå tillbaka till A_blanketten och skapa nästa B-blankett ( B2 etc.), som du fyller i på samma sätt.</t>
  </si>
  <si>
    <t>Markera lämpliga blanketter för utskrift för att använda som manus på fältet.</t>
  </si>
  <si>
    <t>Fyll i dina fältdata.</t>
  </si>
  <si>
    <t>Fyll i Utfall och Möjliga energibesparande åtgärder i systemet med hjälp av tillhörande listrutor.</t>
  </si>
  <si>
    <t>Resultatet från besiktning väljer du in med listrutan för Resultat.</t>
  </si>
  <si>
    <t>Om du anger EG så skall du fylla i en datum i Ombesiktn.datum.</t>
  </si>
  <si>
    <t>(läs mer om detta i FunkiS  "Vägledning OVK")</t>
  </si>
  <si>
    <t>Gå tillbaka till A_blanketten</t>
  </si>
  <si>
    <t xml:space="preserve">Notering: skall omfatta vilka ventilationsregler som varit gällande vid systemets installation, t ex </t>
  </si>
  <si>
    <t>Om du inte får plats , kan du skapa ett nytt kalkylblad för detta. Ange namnet på detta under notering.</t>
  </si>
  <si>
    <t>(Eventuellt kan detta extrablad användas både för notering och omdömet)</t>
  </si>
  <si>
    <t>Intyget</t>
  </si>
  <si>
    <t>Data från A_blanketten finns ifyllda. (besiktningsdatum kan ändras)</t>
  </si>
  <si>
    <t>Komplettera med systemnummer som passar för den plats där intyget skall anslås.</t>
  </si>
  <si>
    <t>Kopiera så många intyg som behövs för fastigheten (byggnaden). Medverka till uppsättande, om möjligt.</t>
  </si>
  <si>
    <t>Gå tillbaka till respektive B-blankett</t>
  </si>
  <si>
    <t>B</t>
  </si>
  <si>
    <t>Ange Bil.Beteckn. ( t.ex. C1-C2, D1, L1-L3, Intyg: 5st)</t>
  </si>
  <si>
    <t>Undertecknande, insändande</t>
  </si>
  <si>
    <t>Görs på alla blanketter utom C1, D1 och E1</t>
  </si>
  <si>
    <t>Läs i " Vägledning OVK"</t>
  </si>
  <si>
    <t>Kopiera vid behov. Byt i så fall namn på bladet och rätta längst upp till höger C1 till C2 etc.</t>
  </si>
  <si>
    <t>Kopiera vid behov. Byt i så fall namn på bladet och rätta längst upp till höger D1 till D2 etc.</t>
  </si>
  <si>
    <t>Kopiera vid behov. Byt i så fall namn på bladet och rätta längst upp till höger L1 till L2 etc.</t>
  </si>
  <si>
    <t>Data från A_blanketten finns ifyllda.</t>
  </si>
  <si>
    <t>I E2-delen skall obligatoriska fält markerade med * fyllas i om inte L1-blankett har använts.</t>
  </si>
  <si>
    <t>Övriga blanketter.</t>
  </si>
  <si>
    <t>Det är endast en mall som behövs för att skapa blanketter ( B1…B13)</t>
  </si>
  <si>
    <t>Sätt i MS Office CD-n och följ anvisningarna.</t>
  </si>
  <si>
    <t xml:space="preserve">På menyn: välj Verktyg - Tillägg... och bocka för Analysis ToolPak och klicka Ok. </t>
  </si>
  <si>
    <t>Spara ner excelfilen i en egen mapp. Detta är din mallfil som du ej skall ändra i.</t>
  </si>
  <si>
    <t>Support</t>
  </si>
  <si>
    <t xml:space="preserve">FunkiS har i dagsläget ingen support för detta besiktningsprotokoll, men vi </t>
  </si>
  <si>
    <t>försöker naturligtvis hjälpa till i mån av tid om frågor skulle uppkomma.</t>
  </si>
  <si>
    <t>Rätta beteckningen i rutan med E till E1, E2 etc. (längst upp till höger)</t>
  </si>
  <si>
    <t>Copyright Funktionskontrollanterna i Sverige 2008</t>
  </si>
  <si>
    <t>Alla funktioner som finns vid högerklick på kalkylbladsfliken är oskyddade liksom de gula fälten på</t>
  </si>
  <si>
    <t>FunkiS logotyp på A-blanketten kan tas bort och även bytas ut till din egen, om du kör Excel 2007.</t>
  </si>
  <si>
    <t>Anmärkning:</t>
  </si>
  <si>
    <t>FX</t>
  </si>
  <si>
    <t>Bes kat(0-2)</t>
  </si>
  <si>
    <t>Grundfil - bp090612.xls</t>
  </si>
  <si>
    <t>Systemtyp (S, F, FT, FTX,T, FX)</t>
  </si>
  <si>
    <t>System(S, F, FT, FTX,T,FX)</t>
  </si>
  <si>
    <t>Proj.flöde l/s</t>
  </si>
  <si>
    <t>Uppm flöde l/s</t>
  </si>
  <si>
    <t>Driftstider timmar vecka</t>
  </si>
  <si>
    <t>Obligatorisk funktionskontroll av ventilationssystem (OVK)</t>
  </si>
  <si>
    <t xml:space="preserve"> </t>
  </si>
  <si>
    <t>B1, Punktvis mätn m varmtrådsanemo rekt galler</t>
  </si>
  <si>
    <t>…………………………………………………………………………………..</t>
  </si>
  <si>
    <t xml:space="preserve">ID1, Punktvis hast.mätn.m prandtlrör </t>
  </si>
  <si>
    <t xml:space="preserve">ET1, Tryckfallsmätning </t>
  </si>
  <si>
    <t>ID2, Punktvis hastmätn m varmtrådsanemometer</t>
  </si>
  <si>
    <t>ET2, Mätn. m stosförsedd anemometer</t>
  </si>
  <si>
    <t>ID3, Fasta flödesmätdon</t>
  </si>
  <si>
    <t>ID4, Spårgasmätning</t>
  </si>
  <si>
    <t>Enligt T221998</t>
  </si>
  <si>
    <t>ST1, Mätning av referenstryck</t>
  </si>
  <si>
    <t>ST3, Mätning m stos, direkt metod</t>
  </si>
  <si>
    <t>K=</t>
  </si>
  <si>
    <t>Renblåsning Pa</t>
  </si>
  <si>
    <t>K1</t>
  </si>
  <si>
    <t>CO2</t>
  </si>
  <si>
    <t>Tempratur</t>
  </si>
  <si>
    <t>Vistelsezon</t>
  </si>
  <si>
    <t>RH</t>
  </si>
  <si>
    <t>Rummet</t>
  </si>
  <si>
    <t>Fukt</t>
  </si>
  <si>
    <t>g/m3</t>
  </si>
  <si>
    <t>Radon</t>
  </si>
  <si>
    <t xml:space="preserve">Enligt PBF kap 5, BFS 2011:16 (OVK) och BFS 2012:7 (OVKAR) med ändringar </t>
  </si>
  <si>
    <t>utförts på denna byggnad</t>
  </si>
  <si>
    <t>Ta bort</t>
  </si>
  <si>
    <t>kol</t>
  </si>
  <si>
    <t xml:space="preserve">Övrigt </t>
  </si>
  <si>
    <t>L: Flöde</t>
  </si>
  <si>
    <t>K1: Co2 mm</t>
  </si>
  <si>
    <t xml:space="preserve"> Funktionskontroll av ventilationssystem enligt PBF kap 5,</t>
  </si>
  <si>
    <t>E1: Aggregatdata</t>
  </si>
  <si>
    <r>
      <t xml:space="preserve"> BFS 2011:16 (</t>
    </r>
    <r>
      <rPr>
        <sz val="8"/>
        <rFont val="Arial"/>
        <family val="2"/>
      </rPr>
      <t>OVK</t>
    </r>
    <r>
      <rPr>
        <sz val="7"/>
        <rFont val="Arial"/>
        <family val="2"/>
      </rPr>
      <t xml:space="preserve">) och BFS 2012:7 (OVKAR) med ändringar </t>
    </r>
  </si>
  <si>
    <t>Besiktningsrtesultat                                          Nästa ordinarie besiktning</t>
  </si>
  <si>
    <t>B-Mall, Dataverifieringslistor</t>
  </si>
  <si>
    <t>Bes kat</t>
  </si>
  <si>
    <t>G</t>
  </si>
  <si>
    <t>Ej besikt.</t>
  </si>
  <si>
    <t>C</t>
  </si>
  <si>
    <r>
      <t xml:space="preserve">Mätmetod: ID=Kanal, ET=Frånluft, ST=Tilluft </t>
    </r>
    <r>
      <rPr>
        <b/>
        <i/>
        <sz val="8"/>
        <rFont val="Arial"/>
        <family val="2"/>
      </rPr>
      <t xml:space="preserve"> SS-EN 16211:2015 SV</t>
    </r>
  </si>
  <si>
    <t>Energisparförslag</t>
  </si>
  <si>
    <t>Fläkthjul</t>
  </si>
  <si>
    <t>VVX typ</t>
  </si>
  <si>
    <t>Nästa besiktningsdatum</t>
  </si>
  <si>
    <t>Funkis excelprotokoll</t>
  </si>
  <si>
    <t>Plats för Stämpel</t>
  </si>
  <si>
    <t>PrintEnd</t>
  </si>
  <si>
    <t>A_blankett</t>
  </si>
  <si>
    <t>A_Blankett</t>
  </si>
  <si>
    <t>Pk (pa)</t>
  </si>
  <si>
    <t>Noteringar</t>
  </si>
  <si>
    <t>Kristoffer Toivanen</t>
  </si>
  <si>
    <t>0707-390293</t>
  </si>
  <si>
    <t>kristoffer@krasab.se</t>
  </si>
  <si>
    <t>KrÅs AB</t>
  </si>
  <si>
    <t>Pärlhakevägen 21</t>
  </si>
  <si>
    <t>83161</t>
  </si>
  <si>
    <t>Östersund</t>
  </si>
  <si>
    <t>RISE</t>
  </si>
  <si>
    <t>C004798</t>
  </si>
  <si>
    <t>2030-01-15</t>
  </si>
  <si>
    <t>K</t>
  </si>
  <si>
    <t>Östersund 2025-01-23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</si>
</sst>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kr&quot;_-;\-* #,##0\ &quot;kr&quot;_-;_-* &quot;-&quot;\ &quot;kr&quot;_-;_-@_-"/>
    <numFmt numFmtId="164" formatCode="#,##0.0"/>
    <numFmt numFmtId="165" formatCode="0;0;"/>
    <numFmt numFmtId="166" formatCode="yyyy/mm/dd;0;"/>
  </numFmts>
  <fonts count="7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sz val="6"/>
      <name val="Arial"/>
      <family val="2"/>
    </font>
    <font>
      <b/>
      <sz val="20"/>
      <name val="Arial"/>
      <family val="2"/>
    </font>
    <font>
      <sz val="12"/>
      <name val="Arial"/>
      <family val="2"/>
    </font>
    <font>
      <b/>
      <sz val="18"/>
      <name val="Arial"/>
      <family val="2"/>
    </font>
    <font>
      <sz val="10"/>
      <color indexed="8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vertAlign val="superscript"/>
      <sz val="7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sz val="10"/>
      <name val="Helv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10"/>
      <color indexed="8"/>
      <name val="Arial"/>
      <family val="2"/>
    </font>
    <font>
      <sz val="9"/>
      <name val="Arial"/>
      <family val="2"/>
    </font>
    <font>
      <b/>
      <i/>
      <sz val="10"/>
      <name val="Arial"/>
      <family val="2"/>
    </font>
    <font>
      <b/>
      <sz val="10"/>
      <name val="Symbol"/>
      <family val="1"/>
      <charset val="2"/>
    </font>
    <font>
      <sz val="8"/>
      <name val="Arial"/>
      <family val="2"/>
    </font>
    <font>
      <vertAlign val="superscript"/>
      <sz val="8"/>
      <name val="Arial"/>
      <family val="2"/>
    </font>
    <font>
      <sz val="10"/>
      <name val="Times New Roman"/>
      <family val="1"/>
    </font>
    <font>
      <b/>
      <sz val="22"/>
      <name val="Times New Roman"/>
      <family val="1"/>
    </font>
    <font>
      <b/>
      <sz val="9"/>
      <name val="Times New Roman"/>
      <family val="1"/>
    </font>
    <font>
      <b/>
      <sz val="7"/>
      <name val="Times New Roman"/>
      <family val="1"/>
    </font>
    <font>
      <b/>
      <vertAlign val="subscript"/>
      <sz val="8"/>
      <name val="Arial"/>
      <family val="2"/>
    </font>
    <font>
      <sz val="7"/>
      <name val="Arial"/>
      <family val="2"/>
    </font>
    <font>
      <sz val="9"/>
      <name val="Symbol"/>
      <family val="1"/>
      <charset val="2"/>
    </font>
    <font>
      <sz val="10"/>
      <name val="Symbol"/>
      <family val="1"/>
      <charset val="2"/>
    </font>
    <font>
      <sz val="10"/>
      <name val="@Arial Unicode MS"/>
      <family val="2"/>
    </font>
    <font>
      <vertAlign val="subscript"/>
      <sz val="9"/>
      <name val="Arial"/>
      <family val="2"/>
    </font>
    <font>
      <b/>
      <sz val="7"/>
      <name val="Arial"/>
      <family val="2"/>
    </font>
    <font>
      <sz val="10"/>
      <color indexed="9"/>
      <name val="Arial"/>
      <family val="2"/>
    </font>
    <font>
      <b/>
      <sz val="10"/>
      <color indexed="9"/>
      <name val="Symbol"/>
      <family val="1"/>
      <charset val="2"/>
    </font>
    <font>
      <sz val="8"/>
      <color indexed="81"/>
      <name val="Tahoma"/>
      <family val="2"/>
    </font>
    <font>
      <b/>
      <sz val="22"/>
      <name val="Arial"/>
      <family val="2"/>
    </font>
    <font>
      <b/>
      <sz val="7"/>
      <name val="Arial"/>
      <family val="2"/>
    </font>
    <font>
      <b/>
      <sz val="8"/>
      <color indexed="12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b/>
      <sz val="8"/>
      <color rgb="FFFF0000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  <font>
      <sz val="7"/>
      <color rgb="FFFF0000"/>
      <name val="Arial"/>
      <family val="2"/>
    </font>
    <font>
      <b/>
      <sz val="10"/>
      <color rgb="FFFF0000"/>
      <name val="Arial"/>
      <family val="2"/>
    </font>
    <font>
      <sz val="8"/>
      <color rgb="FF000000"/>
      <name val="Tahoma"/>
      <family val="2"/>
    </font>
    <font>
      <sz val="9"/>
      <color rgb="FF000000"/>
      <name val="Arial"/>
      <family val="2"/>
    </font>
    <font>
      <sz val="10"/>
      <color theme="1"/>
      <name val="Arial"/>
      <family val="2"/>
    </font>
    <font>
      <b/>
      <sz val="7"/>
      <color theme="1"/>
      <name val="Times New Roman"/>
      <family val="1"/>
    </font>
    <font>
      <sz val="10"/>
      <color theme="0"/>
      <name val="Times New Roman"/>
      <family val="1"/>
    </font>
    <font>
      <b/>
      <i/>
      <sz val="8"/>
      <name val="Arial"/>
      <family val="2"/>
    </font>
    <font>
      <sz val="8"/>
      <color theme="0"/>
      <name val="Arial"/>
      <family val="2"/>
    </font>
    <font>
      <sz val="10"/>
      <color theme="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47">
    <xf numFmtId="0" fontId="0" fillId="0" borderId="0"/>
    <xf numFmtId="0" fontId="21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1" fillId="4" borderId="0" applyNumberFormat="0" applyBorder="0" applyAlignment="0" applyProtection="0"/>
    <xf numFmtId="0" fontId="21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2" fillId="6" borderId="0" applyNumberFormat="0" applyBorder="0" applyAlignment="0" applyProtection="0"/>
    <xf numFmtId="0" fontId="22" fillId="9" borderId="0" applyNumberFormat="0" applyBorder="0" applyAlignment="0" applyProtection="0"/>
    <xf numFmtId="0" fontId="21" fillId="7" borderId="0" applyNumberFormat="0" applyBorder="0" applyAlignment="0" applyProtection="0"/>
    <xf numFmtId="0" fontId="21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10" borderId="0" applyNumberFormat="0" applyBorder="0" applyAlignment="0" applyProtection="0"/>
    <xf numFmtId="0" fontId="22" fillId="11" borderId="0" applyNumberFormat="0" applyBorder="0" applyAlignment="0" applyProtection="0"/>
    <xf numFmtId="0" fontId="22" fillId="3" borderId="0" applyNumberFormat="0" applyBorder="0" applyAlignment="0" applyProtection="0"/>
    <xf numFmtId="0" fontId="21" fillId="4" borderId="0" applyNumberFormat="0" applyBorder="0" applyAlignment="0" applyProtection="0"/>
    <xf numFmtId="0" fontId="21" fillId="12" borderId="0" applyNumberFormat="0" applyBorder="0" applyAlignment="0" applyProtection="0"/>
    <xf numFmtId="0" fontId="22" fillId="6" borderId="0" applyNumberFormat="0" applyBorder="0" applyAlignment="0" applyProtection="0"/>
    <xf numFmtId="0" fontId="22" fillId="13" borderId="0" applyNumberFormat="0" applyBorder="0" applyAlignment="0" applyProtection="0"/>
    <xf numFmtId="0" fontId="21" fillId="13" borderId="0" applyNumberFormat="0" applyBorder="0" applyAlignment="0" applyProtection="0"/>
    <xf numFmtId="0" fontId="23" fillId="14" borderId="0" applyNumberFormat="0" applyBorder="0" applyAlignment="0" applyProtection="0"/>
    <xf numFmtId="0" fontId="24" fillId="15" borderId="2" applyNumberFormat="0" applyAlignment="0" applyProtection="0"/>
    <xf numFmtId="0" fontId="25" fillId="8" borderId="3" applyNumberFormat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26" fillId="18" borderId="0" applyNumberFormat="0" applyBorder="0" applyAlignment="0" applyProtection="0"/>
    <xf numFmtId="0" fontId="7" fillId="0" borderId="0" applyNumberFormat="0" applyFont="0" applyAlignment="0" applyProtection="0">
      <alignment horizontal="center"/>
      <protection locked="0"/>
    </xf>
    <xf numFmtId="0" fontId="27" fillId="9" borderId="0" applyNumberFormat="0" applyBorder="0" applyAlignment="0" applyProtection="0"/>
    <xf numFmtId="0" fontId="28" fillId="0" borderId="4" applyNumberFormat="0" applyFill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0" fillId="0" borderId="0" applyNumberFormat="0" applyFill="0" applyBorder="0" applyAlignment="0" applyProtection="0"/>
    <xf numFmtId="0" fontId="63" fillId="0" borderId="0" applyNumberFormat="0" applyFill="0" applyBorder="0" applyAlignment="0" applyProtection="0">
      <alignment vertical="top"/>
      <protection locked="0"/>
    </xf>
    <xf numFmtId="0" fontId="31" fillId="13" borderId="2" applyNumberFormat="0" applyAlignment="0" applyProtection="0"/>
    <xf numFmtId="0" fontId="32" fillId="0" borderId="7" applyNumberFormat="0" applyFill="0" applyAlignment="0" applyProtection="0"/>
    <xf numFmtId="0" fontId="33" fillId="19" borderId="0" applyNumberFormat="0" applyBorder="0" applyAlignment="0" applyProtection="0"/>
    <xf numFmtId="0" fontId="34" fillId="0" borderId="0"/>
    <xf numFmtId="0" fontId="1" fillId="6" borderId="1" applyNumberFormat="0" applyFont="0" applyAlignment="0" applyProtection="0"/>
    <xf numFmtId="0" fontId="35" fillId="15" borderId="8" applyNumberFormat="0" applyAlignment="0" applyProtection="0"/>
    <xf numFmtId="0" fontId="36" fillId="0" borderId="0" applyNumberFormat="0" applyFill="0" applyBorder="0" applyAlignment="0" applyProtection="0"/>
    <xf numFmtId="0" fontId="26" fillId="0" borderId="9" applyNumberFormat="0" applyFill="0" applyAlignment="0" applyProtection="0"/>
    <xf numFmtId="0" fontId="37" fillId="0" borderId="0" applyNumberFormat="0" applyFill="0" applyBorder="0" applyAlignment="0" applyProtection="0"/>
  </cellStyleXfs>
  <cellXfs count="781">
    <xf numFmtId="0" fontId="0" fillId="0" borderId="0" xfId="0"/>
    <xf numFmtId="0" fontId="3" fillId="0" borderId="0" xfId="0" applyFont="1"/>
    <xf numFmtId="0" fontId="7" fillId="0" borderId="0" xfId="0" applyFont="1"/>
    <xf numFmtId="0" fontId="0" fillId="21" borderId="0" xfId="0" applyFill="1"/>
    <xf numFmtId="0" fontId="6" fillId="0" borderId="0" xfId="0" applyFont="1"/>
    <xf numFmtId="0" fontId="3" fillId="0" borderId="0" xfId="0" applyFont="1" applyAlignment="1">
      <alignment horizontal="center"/>
    </xf>
    <xf numFmtId="0" fontId="6" fillId="0" borderId="11" xfId="0" applyFont="1" applyBorder="1" applyAlignment="1">
      <alignment horizontal="left" vertical="top"/>
    </xf>
    <xf numFmtId="49" fontId="7" fillId="0" borderId="12" xfId="0" applyNumberFormat="1" applyFont="1" applyBorder="1" applyAlignment="1" applyProtection="1">
      <alignment horizontal="center" vertical="center"/>
      <protection locked="0"/>
    </xf>
    <xf numFmtId="49" fontId="7" fillId="0" borderId="13" xfId="0" applyNumberFormat="1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>
      <alignment vertical="top"/>
    </xf>
    <xf numFmtId="0" fontId="6" fillId="0" borderId="14" xfId="0" applyFont="1" applyBorder="1" applyAlignment="1">
      <alignment vertical="top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left" vertical="top"/>
    </xf>
    <xf numFmtId="0" fontId="6" fillId="0" borderId="16" xfId="0" applyFont="1" applyBorder="1" applyAlignment="1">
      <alignment vertical="top"/>
    </xf>
    <xf numFmtId="0" fontId="44" fillId="0" borderId="14" xfId="0" applyFont="1" applyBorder="1"/>
    <xf numFmtId="0" fontId="44" fillId="0" borderId="16" xfId="0" applyFont="1" applyBorder="1"/>
    <xf numFmtId="0" fontId="44" fillId="0" borderId="17" xfId="0" applyFont="1" applyBorder="1"/>
    <xf numFmtId="0" fontId="44" fillId="0" borderId="18" xfId="0" applyFont="1" applyBorder="1"/>
    <xf numFmtId="0" fontId="44" fillId="0" borderId="10" xfId="0" applyFont="1" applyBorder="1"/>
    <xf numFmtId="0" fontId="44" fillId="0" borderId="19" xfId="0" applyFont="1" applyBorder="1"/>
    <xf numFmtId="0" fontId="44" fillId="0" borderId="20" xfId="0" applyFont="1" applyBorder="1"/>
    <xf numFmtId="0" fontId="0" fillId="0" borderId="21" xfId="0" applyBorder="1"/>
    <xf numFmtId="0" fontId="38" fillId="0" borderId="17" xfId="0" applyFont="1" applyBorder="1" applyAlignment="1" applyProtection="1">
      <alignment horizontal="center"/>
      <protection locked="0"/>
    </xf>
    <xf numFmtId="0" fontId="38" fillId="0" borderId="22" xfId="0" applyFont="1" applyBorder="1" applyAlignment="1" applyProtection="1">
      <alignment horizontal="center"/>
      <protection locked="0"/>
    </xf>
    <xf numFmtId="0" fontId="3" fillId="0" borderId="23" xfId="0" applyFont="1" applyBorder="1"/>
    <xf numFmtId="0" fontId="0" fillId="0" borderId="24" xfId="0" applyBorder="1"/>
    <xf numFmtId="0" fontId="0" fillId="0" borderId="25" xfId="0" applyBorder="1"/>
    <xf numFmtId="0" fontId="38" fillId="0" borderId="26" xfId="0" applyFont="1" applyBorder="1" applyAlignment="1" applyProtection="1">
      <alignment horizontal="center"/>
      <protection locked="0"/>
    </xf>
    <xf numFmtId="49" fontId="7" fillId="0" borderId="19" xfId="0" applyNumberFormat="1" applyFont="1" applyBorder="1" applyAlignment="1" applyProtection="1">
      <alignment horizontal="left"/>
      <protection locked="0"/>
    </xf>
    <xf numFmtId="0" fontId="0" fillId="23" borderId="0" xfId="0" applyFill="1"/>
    <xf numFmtId="0" fontId="6" fillId="0" borderId="27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2" fontId="7" fillId="0" borderId="0" xfId="0" applyNumberFormat="1" applyFont="1"/>
    <xf numFmtId="0" fontId="44" fillId="0" borderId="0" xfId="0" applyFont="1"/>
    <xf numFmtId="0" fontId="0" fillId="0" borderId="14" xfId="0" applyBorder="1"/>
    <xf numFmtId="0" fontId="47" fillId="0" borderId="27" xfId="0" applyFont="1" applyBorder="1"/>
    <xf numFmtId="0" fontId="0" fillId="0" borderId="0" xfId="0" applyProtection="1">
      <protection locked="0"/>
    </xf>
    <xf numFmtId="0" fontId="12" fillId="23" borderId="0" xfId="0" applyFont="1" applyFill="1"/>
    <xf numFmtId="0" fontId="0" fillId="0" borderId="0" xfId="0" applyAlignment="1" applyProtection="1">
      <alignment horizontal="center"/>
      <protection locked="0"/>
    </xf>
    <xf numFmtId="0" fontId="17" fillId="0" borderId="0" xfId="0" applyFont="1"/>
    <xf numFmtId="0" fontId="3" fillId="0" borderId="0" xfId="0" applyFont="1" applyAlignment="1">
      <alignment vertical="top"/>
    </xf>
    <xf numFmtId="0" fontId="13" fillId="0" borderId="0" xfId="0" applyFont="1" applyAlignment="1">
      <alignment vertical="top"/>
    </xf>
    <xf numFmtId="0" fontId="8" fillId="0" borderId="0" xfId="0" applyFont="1" applyAlignment="1">
      <alignment horizontal="right" vertical="center"/>
    </xf>
    <xf numFmtId="0" fontId="0" fillId="0" borderId="0" xfId="0" applyAlignment="1">
      <alignment horizontal="center"/>
    </xf>
    <xf numFmtId="0" fontId="6" fillId="0" borderId="16" xfId="0" applyFont="1" applyBorder="1" applyAlignment="1">
      <alignment horizontal="left"/>
    </xf>
    <xf numFmtId="0" fontId="6" fillId="0" borderId="27" xfId="0" applyFont="1" applyBorder="1" applyAlignment="1">
      <alignment horizontal="left"/>
    </xf>
    <xf numFmtId="49" fontId="7" fillId="0" borderId="14" xfId="0" applyNumberFormat="1" applyFont="1" applyBorder="1" applyAlignment="1">
      <alignment horizontal="left" vertical="top"/>
    </xf>
    <xf numFmtId="49" fontId="7" fillId="0" borderId="16" xfId="0" applyNumberFormat="1" applyFont="1" applyBorder="1" applyAlignment="1">
      <alignment horizontal="left" vertical="top"/>
    </xf>
    <xf numFmtId="49" fontId="16" fillId="0" borderId="19" xfId="0" applyNumberFormat="1" applyFont="1" applyBorder="1" applyAlignment="1" applyProtection="1">
      <alignment horizontal="left" vertical="center"/>
      <protection locked="0"/>
    </xf>
    <xf numFmtId="0" fontId="0" fillId="0" borderId="19" xfId="0" applyBorder="1"/>
    <xf numFmtId="0" fontId="0" fillId="0" borderId="20" xfId="0" applyBorder="1"/>
    <xf numFmtId="49" fontId="7" fillId="0" borderId="13" xfId="0" applyNumberFormat="1" applyFont="1" applyBorder="1" applyAlignment="1" applyProtection="1">
      <alignment horizontal="left" vertical="center"/>
      <protection locked="0"/>
    </xf>
    <xf numFmtId="49" fontId="7" fillId="0" borderId="25" xfId="0" applyNumberFormat="1" applyFont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28" xfId="0" applyBorder="1" applyAlignment="1" applyProtection="1">
      <alignment horizontal="center"/>
      <protection locked="0"/>
    </xf>
    <xf numFmtId="0" fontId="47" fillId="0" borderId="14" xfId="0" applyFont="1" applyBorder="1"/>
    <xf numFmtId="0" fontId="2" fillId="0" borderId="25" xfId="0" applyFont="1" applyBorder="1" applyAlignment="1">
      <alignment horizontal="left"/>
    </xf>
    <xf numFmtId="0" fontId="11" fillId="0" borderId="13" xfId="0" applyFont="1" applyBorder="1" applyAlignment="1">
      <alignment horizontal="center"/>
    </xf>
    <xf numFmtId="0" fontId="11" fillId="0" borderId="0" xfId="0" applyFont="1"/>
    <xf numFmtId="0" fontId="4" fillId="0" borderId="17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8" xfId="0" applyFont="1" applyBorder="1" applyAlignment="1">
      <alignment horizontal="center"/>
    </xf>
    <xf numFmtId="0" fontId="19" fillId="0" borderId="0" xfId="0" applyFont="1"/>
    <xf numFmtId="0" fontId="4" fillId="0" borderId="10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6" fillId="0" borderId="27" xfId="0" applyFont="1" applyBorder="1" applyAlignment="1">
      <alignment vertical="top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8" fillId="0" borderId="0" xfId="0" applyFont="1"/>
    <xf numFmtId="0" fontId="2" fillId="0" borderId="0" xfId="0" applyFont="1" applyAlignment="1">
      <alignment horizontal="center"/>
    </xf>
    <xf numFmtId="0" fontId="13" fillId="0" borderId="0" xfId="0" applyFont="1"/>
    <xf numFmtId="0" fontId="51" fillId="0" borderId="0" xfId="0" applyFont="1"/>
    <xf numFmtId="0" fontId="52" fillId="0" borderId="0" xfId="0" applyFont="1"/>
    <xf numFmtId="0" fontId="13" fillId="0" borderId="0" xfId="0" applyFont="1" applyAlignment="1">
      <alignment horizontal="left"/>
    </xf>
    <xf numFmtId="0" fontId="9" fillId="0" borderId="0" xfId="0" applyFont="1"/>
    <xf numFmtId="0" fontId="3" fillId="0" borderId="0" xfId="0" applyFont="1" applyAlignment="1">
      <alignment horizontal="right"/>
    </xf>
    <xf numFmtId="0" fontId="2" fillId="0" borderId="14" xfId="0" applyFont="1" applyBorder="1"/>
    <xf numFmtId="0" fontId="0" fillId="0" borderId="12" xfId="0" applyBorder="1" applyAlignment="1" applyProtection="1">
      <alignment horizontal="center"/>
      <protection locked="0"/>
    </xf>
    <xf numFmtId="0" fontId="0" fillId="0" borderId="14" xfId="0" applyBorder="1" applyAlignment="1">
      <alignment horizontal="left"/>
    </xf>
    <xf numFmtId="0" fontId="2" fillId="0" borderId="16" xfId="0" applyFont="1" applyBorder="1"/>
    <xf numFmtId="0" fontId="0" fillId="0" borderId="16" xfId="0" applyBorder="1" applyAlignment="1">
      <alignment horizontal="center"/>
    </xf>
    <xf numFmtId="0" fontId="0" fillId="0" borderId="29" xfId="0" applyBorder="1"/>
    <xf numFmtId="49" fontId="3" fillId="0" borderId="13" xfId="0" applyNumberFormat="1" applyFont="1" applyBorder="1" applyAlignment="1">
      <alignment horizontal="center"/>
    </xf>
    <xf numFmtId="0" fontId="0" fillId="0" borderId="23" xfId="0" applyBorder="1"/>
    <xf numFmtId="0" fontId="0" fillId="0" borderId="30" xfId="0" applyBorder="1"/>
    <xf numFmtId="0" fontId="0" fillId="0" borderId="23" xfId="0" applyBorder="1" applyAlignment="1" applyProtection="1">
      <alignment horizontal="center"/>
      <protection locked="0"/>
    </xf>
    <xf numFmtId="0" fontId="3" fillId="0" borderId="30" xfId="0" applyFont="1" applyBorder="1"/>
    <xf numFmtId="0" fontId="0" fillId="0" borderId="31" xfId="0" applyBorder="1"/>
    <xf numFmtId="0" fontId="0" fillId="0" borderId="32" xfId="0" applyBorder="1"/>
    <xf numFmtId="0" fontId="0" fillId="0" borderId="23" xfId="0" applyBorder="1" applyAlignment="1">
      <alignment horizontal="left"/>
    </xf>
    <xf numFmtId="0" fontId="0" fillId="0" borderId="33" xfId="0" applyBorder="1"/>
    <xf numFmtId="0" fontId="0" fillId="0" borderId="34" xfId="0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35" xfId="0" applyBorder="1"/>
    <xf numFmtId="2" fontId="0" fillId="0" borderId="23" xfId="0" applyNumberFormat="1" applyBorder="1" applyProtection="1">
      <protection locked="0"/>
    </xf>
    <xf numFmtId="2" fontId="0" fillId="0" borderId="26" xfId="0" applyNumberFormat="1" applyBorder="1" applyProtection="1">
      <protection locked="0"/>
    </xf>
    <xf numFmtId="0" fontId="39" fillId="0" borderId="28" xfId="0" applyFont="1" applyBorder="1"/>
    <xf numFmtId="0" fontId="0" fillId="0" borderId="36" xfId="0" applyBorder="1"/>
    <xf numFmtId="0" fontId="49" fillId="0" borderId="31" xfId="0" applyFont="1" applyBorder="1"/>
    <xf numFmtId="0" fontId="0" fillId="0" borderId="37" xfId="0" applyBorder="1" applyAlignment="1" applyProtection="1">
      <alignment horizontal="center"/>
      <protection locked="0"/>
    </xf>
    <xf numFmtId="0" fontId="39" fillId="0" borderId="23" xfId="0" applyFont="1" applyBorder="1"/>
    <xf numFmtId="0" fontId="0" fillId="0" borderId="28" xfId="0" applyBorder="1" applyAlignment="1">
      <alignment horizontal="right"/>
    </xf>
    <xf numFmtId="49" fontId="0" fillId="0" borderId="28" xfId="0" applyNumberFormat="1" applyBorder="1" applyAlignment="1">
      <alignment horizontal="right"/>
    </xf>
    <xf numFmtId="0" fontId="4" fillId="0" borderId="23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23" xfId="0" applyBorder="1" applyAlignment="1">
      <alignment horizontal="right"/>
    </xf>
    <xf numFmtId="49" fontId="0" fillId="0" borderId="23" xfId="0" applyNumberFormat="1" applyBorder="1" applyAlignment="1">
      <alignment horizontal="right"/>
    </xf>
    <xf numFmtId="0" fontId="4" fillId="0" borderId="28" xfId="0" applyFont="1" applyBorder="1"/>
    <xf numFmtId="0" fontId="50" fillId="0" borderId="38" xfId="41" applyFont="1" applyBorder="1" applyAlignment="1">
      <alignment horizontal="left"/>
    </xf>
    <xf numFmtId="0" fontId="4" fillId="0" borderId="39" xfId="0" applyFont="1" applyBorder="1"/>
    <xf numFmtId="0" fontId="0" fillId="0" borderId="40" xfId="0" applyBorder="1"/>
    <xf numFmtId="0" fontId="50" fillId="0" borderId="38" xfId="41" applyFont="1" applyBorder="1"/>
    <xf numFmtId="0" fontId="0" fillId="0" borderId="41" xfId="0" applyBorder="1"/>
    <xf numFmtId="0" fontId="2" fillId="0" borderId="42" xfId="41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42" fillId="0" borderId="43" xfId="0" applyFont="1" applyBorder="1" applyAlignment="1">
      <alignment horizontal="left"/>
    </xf>
    <xf numFmtId="2" fontId="19" fillId="0" borderId="13" xfId="0" applyNumberFormat="1" applyFont="1" applyBorder="1" applyAlignment="1">
      <alignment horizontal="center"/>
    </xf>
    <xf numFmtId="0" fontId="49" fillId="0" borderId="43" xfId="0" applyFont="1" applyBorder="1" applyAlignment="1">
      <alignment horizontal="center"/>
    </xf>
    <xf numFmtId="0" fontId="49" fillId="0" borderId="13" xfId="0" applyFont="1" applyBorder="1" applyAlignment="1">
      <alignment horizontal="center"/>
    </xf>
    <xf numFmtId="0" fontId="39" fillId="0" borderId="44" xfId="0" applyFont="1" applyBorder="1" applyAlignment="1" applyProtection="1">
      <alignment horizontal="center"/>
      <protection locked="0"/>
    </xf>
    <xf numFmtId="1" fontId="39" fillId="0" borderId="29" xfId="0" applyNumberFormat="1" applyFont="1" applyBorder="1" applyAlignment="1" applyProtection="1">
      <alignment horizontal="center"/>
      <protection locked="0"/>
    </xf>
    <xf numFmtId="1" fontId="39" fillId="0" borderId="44" xfId="0" applyNumberFormat="1" applyFont="1" applyBorder="1" applyAlignment="1" applyProtection="1">
      <alignment horizontal="center"/>
      <protection locked="0"/>
    </xf>
    <xf numFmtId="0" fontId="39" fillId="0" borderId="12" xfId="0" applyFont="1" applyBorder="1" applyAlignment="1" applyProtection="1">
      <alignment horizontal="center"/>
      <protection locked="0"/>
    </xf>
    <xf numFmtId="1" fontId="39" fillId="0" borderId="40" xfId="0" applyNumberFormat="1" applyFont="1" applyBorder="1" applyAlignment="1" applyProtection="1">
      <alignment horizontal="center"/>
      <protection locked="0"/>
    </xf>
    <xf numFmtId="1" fontId="39" fillId="0" borderId="45" xfId="0" applyNumberFormat="1" applyFont="1" applyBorder="1" applyAlignment="1" applyProtection="1">
      <alignment horizontal="center"/>
      <protection locked="0"/>
    </xf>
    <xf numFmtId="0" fontId="39" fillId="0" borderId="29" xfId="0" applyFont="1" applyBorder="1" applyAlignment="1" applyProtection="1">
      <alignment horizontal="center"/>
      <protection locked="0"/>
    </xf>
    <xf numFmtId="0" fontId="41" fillId="0" borderId="0" xfId="41" applyFont="1" applyAlignment="1">
      <alignment horizontal="right"/>
    </xf>
    <xf numFmtId="0" fontId="5" fillId="0" borderId="0" xfId="0" applyFont="1" applyAlignment="1">
      <alignment horizontal="left"/>
    </xf>
    <xf numFmtId="0" fontId="19" fillId="0" borderId="13" xfId="0" applyFont="1" applyBorder="1" applyAlignment="1">
      <alignment horizontal="center" vertical="center"/>
    </xf>
    <xf numFmtId="0" fontId="0" fillId="0" borderId="18" xfId="0" applyBorder="1"/>
    <xf numFmtId="0" fontId="0" fillId="22" borderId="0" xfId="0" applyFill="1"/>
    <xf numFmtId="0" fontId="0" fillId="22" borderId="0" xfId="0" applyFill="1" applyAlignment="1">
      <alignment horizontal="center"/>
    </xf>
    <xf numFmtId="0" fontId="44" fillId="22" borderId="0" xfId="0" applyFont="1" applyFill="1"/>
    <xf numFmtId="0" fontId="3" fillId="22" borderId="0" xfId="0" applyFont="1" applyFill="1"/>
    <xf numFmtId="0" fontId="38" fillId="22" borderId="23" xfId="0" applyFont="1" applyFill="1" applyBorder="1" applyAlignment="1" applyProtection="1">
      <alignment horizontal="center"/>
      <protection locked="0"/>
    </xf>
    <xf numFmtId="0" fontId="55" fillId="0" borderId="0" xfId="0" applyFont="1"/>
    <xf numFmtId="0" fontId="56" fillId="0" borderId="0" xfId="41" applyFont="1" applyAlignment="1">
      <alignment horizontal="right"/>
    </xf>
    <xf numFmtId="49" fontId="7" fillId="0" borderId="0" xfId="0" applyNumberFormat="1" applyFont="1" applyAlignment="1" applyProtection="1">
      <alignment horizontal="left" vertical="center"/>
      <protection locked="0"/>
    </xf>
    <xf numFmtId="0" fontId="11" fillId="0" borderId="0" xfId="0" applyFont="1" applyAlignment="1">
      <alignment horizontal="left"/>
    </xf>
    <xf numFmtId="0" fontId="11" fillId="0" borderId="19" xfId="0" applyFont="1" applyBorder="1" applyAlignment="1">
      <alignment horizontal="left"/>
    </xf>
    <xf numFmtId="166" fontId="7" fillId="0" borderId="20" xfId="0" applyNumberFormat="1" applyFont="1" applyBorder="1" applyAlignment="1" applyProtection="1">
      <alignment horizontal="center" vertical="center"/>
      <protection locked="0"/>
    </xf>
    <xf numFmtId="49" fontId="16" fillId="0" borderId="0" xfId="0" applyNumberFormat="1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166" fontId="7" fillId="0" borderId="0" xfId="0" applyNumberFormat="1" applyFont="1" applyAlignment="1" applyProtection="1">
      <alignment horizontal="center" vertical="center"/>
      <protection locked="0"/>
    </xf>
    <xf numFmtId="0" fontId="47" fillId="0" borderId="11" xfId="0" applyFont="1" applyBorder="1"/>
    <xf numFmtId="165" fontId="7" fillId="24" borderId="20" xfId="0" applyNumberFormat="1" applyFont="1" applyFill="1" applyBorder="1" applyAlignment="1">
      <alignment horizontal="left"/>
    </xf>
    <xf numFmtId="165" fontId="7" fillId="24" borderId="12" xfId="0" applyNumberFormat="1" applyFont="1" applyFill="1" applyBorder="1" applyAlignment="1">
      <alignment horizontal="left"/>
    </xf>
    <xf numFmtId="0" fontId="54" fillId="0" borderId="16" xfId="0" applyFont="1" applyBorder="1"/>
    <xf numFmtId="0" fontId="1" fillId="0" borderId="0" xfId="0" applyFont="1"/>
    <xf numFmtId="166" fontId="4" fillId="0" borderId="14" xfId="0" applyNumberFormat="1" applyFont="1" applyBorder="1" applyAlignment="1" applyProtection="1">
      <alignment horizontal="center" vertical="center"/>
      <protection hidden="1"/>
    </xf>
    <xf numFmtId="0" fontId="2" fillId="0" borderId="18" xfId="0" applyFont="1" applyBorder="1"/>
    <xf numFmtId="0" fontId="0" fillId="20" borderId="0" xfId="0" applyFill="1"/>
    <xf numFmtId="0" fontId="6" fillId="0" borderId="17" xfId="0" applyFont="1" applyBorder="1"/>
    <xf numFmtId="0" fontId="6" fillId="0" borderId="22" xfId="0" applyFont="1" applyBorder="1"/>
    <xf numFmtId="0" fontId="6" fillId="0" borderId="11" xfId="0" applyFont="1" applyBorder="1"/>
    <xf numFmtId="0" fontId="6" fillId="0" borderId="13" xfId="0" applyFont="1" applyBorder="1" applyAlignment="1">
      <alignment horizontal="center" vertical="center"/>
    </xf>
    <xf numFmtId="0" fontId="3" fillId="0" borderId="11" xfId="0" applyFont="1" applyBorder="1"/>
    <xf numFmtId="0" fontId="0" fillId="0" borderId="16" xfId="0" applyBorder="1"/>
    <xf numFmtId="0" fontId="7" fillId="0" borderId="17" xfId="0" applyFont="1" applyBorder="1"/>
    <xf numFmtId="0" fontId="7" fillId="0" borderId="10" xfId="0" applyFont="1" applyBorder="1"/>
    <xf numFmtId="0" fontId="7" fillId="0" borderId="19" xfId="0" applyFont="1" applyBorder="1"/>
    <xf numFmtId="0" fontId="0" fillId="0" borderId="17" xfId="0" applyBorder="1"/>
    <xf numFmtId="0" fontId="0" fillId="0" borderId="10" xfId="0" applyBorder="1"/>
    <xf numFmtId="0" fontId="7" fillId="0" borderId="0" xfId="0" applyFont="1" applyAlignment="1">
      <alignment horizontal="left"/>
    </xf>
    <xf numFmtId="0" fontId="14" fillId="0" borderId="17" xfId="0" applyFont="1" applyBorder="1" applyAlignment="1">
      <alignment horizontal="left"/>
    </xf>
    <xf numFmtId="0" fontId="14" fillId="0" borderId="17" xfId="0" applyFont="1" applyBorder="1"/>
    <xf numFmtId="0" fontId="62" fillId="0" borderId="0" xfId="0" applyFont="1"/>
    <xf numFmtId="0" fontId="1" fillId="0" borderId="10" xfId="0" applyFont="1" applyBorder="1"/>
    <xf numFmtId="0" fontId="1" fillId="0" borderId="19" xfId="0" applyFont="1" applyBorder="1"/>
    <xf numFmtId="0" fontId="51" fillId="0" borderId="19" xfId="0" applyFont="1" applyBorder="1"/>
    <xf numFmtId="0" fontId="62" fillId="0" borderId="19" xfId="0" applyFont="1" applyBorder="1"/>
    <xf numFmtId="0" fontId="62" fillId="0" borderId="20" xfId="0" applyFont="1" applyBorder="1"/>
    <xf numFmtId="166" fontId="7" fillId="24" borderId="20" xfId="0" applyNumberFormat="1" applyFont="1" applyFill="1" applyBorder="1" applyAlignment="1" applyProtection="1">
      <alignment horizontal="left"/>
      <protection locked="0"/>
    </xf>
    <xf numFmtId="0" fontId="64" fillId="0" borderId="0" xfId="0" applyFont="1" applyAlignment="1">
      <alignment horizontal="center"/>
    </xf>
    <xf numFmtId="0" fontId="66" fillId="0" borderId="0" xfId="0" applyFont="1"/>
    <xf numFmtId="0" fontId="65" fillId="0" borderId="0" xfId="0" applyFont="1"/>
    <xf numFmtId="0" fontId="65" fillId="0" borderId="0" xfId="0" applyFont="1" applyAlignment="1">
      <alignment horizontal="center"/>
    </xf>
    <xf numFmtId="0" fontId="67" fillId="0" borderId="14" xfId="0" applyFont="1" applyBorder="1" applyAlignment="1">
      <alignment horizontal="left"/>
    </xf>
    <xf numFmtId="49" fontId="66" fillId="0" borderId="14" xfId="0" applyNumberFormat="1" applyFont="1" applyBorder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1" fillId="0" borderId="14" xfId="0" applyFont="1" applyBorder="1" applyAlignment="1">
      <alignment horizontal="left"/>
    </xf>
    <xf numFmtId="0" fontId="73" fillId="0" borderId="11" xfId="0" applyFont="1" applyBorder="1"/>
    <xf numFmtId="165" fontId="7" fillId="24" borderId="10" xfId="0" applyNumberFormat="1" applyFont="1" applyFill="1" applyBorder="1" applyAlignment="1">
      <alignment horizontal="left"/>
    </xf>
    <xf numFmtId="165" fontId="7" fillId="24" borderId="19" xfId="0" applyNumberFormat="1" applyFont="1" applyFill="1" applyBorder="1" applyAlignment="1">
      <alignment horizontal="left"/>
    </xf>
    <xf numFmtId="0" fontId="67" fillId="0" borderId="0" xfId="0" applyFont="1" applyAlignment="1">
      <alignment horizontal="left" vertical="center"/>
    </xf>
    <xf numFmtId="0" fontId="10" fillId="0" borderId="0" xfId="0" applyFont="1"/>
    <xf numFmtId="0" fontId="44" fillId="25" borderId="0" xfId="0" applyFont="1" applyFill="1"/>
    <xf numFmtId="0" fontId="1" fillId="0" borderId="26" xfId="0" applyFont="1" applyBorder="1" applyAlignment="1">
      <alignment horizontal="left"/>
    </xf>
    <xf numFmtId="0" fontId="0" fillId="25" borderId="0" xfId="0" applyFill="1"/>
    <xf numFmtId="0" fontId="0" fillId="25" borderId="0" xfId="0" applyFill="1" applyAlignment="1">
      <alignment horizontal="center"/>
    </xf>
    <xf numFmtId="0" fontId="0" fillId="25" borderId="0" xfId="0" applyFill="1" applyAlignment="1" applyProtection="1">
      <alignment horizontal="center"/>
      <protection locked="0"/>
    </xf>
    <xf numFmtId="0" fontId="6" fillId="25" borderId="27" xfId="0" applyFont="1" applyFill="1" applyBorder="1" applyAlignment="1">
      <alignment horizontal="left"/>
    </xf>
    <xf numFmtId="49" fontId="7" fillId="25" borderId="12" xfId="0" applyNumberFormat="1" applyFont="1" applyFill="1" applyBorder="1" applyAlignment="1" applyProtection="1">
      <alignment horizontal="center" vertical="center"/>
      <protection locked="0"/>
    </xf>
    <xf numFmtId="0" fontId="6" fillId="25" borderId="14" xfId="0" applyFont="1" applyFill="1" applyBorder="1" applyAlignment="1">
      <alignment horizontal="left"/>
    </xf>
    <xf numFmtId="0" fontId="7" fillId="25" borderId="14" xfId="0" applyFont="1" applyFill="1" applyBorder="1" applyAlignment="1">
      <alignment horizontal="left"/>
    </xf>
    <xf numFmtId="49" fontId="7" fillId="25" borderId="14" xfId="0" applyNumberFormat="1" applyFont="1" applyFill="1" applyBorder="1" applyAlignment="1">
      <alignment horizontal="left" vertical="top"/>
    </xf>
    <xf numFmtId="49" fontId="7" fillId="25" borderId="16" xfId="0" applyNumberFormat="1" applyFont="1" applyFill="1" applyBorder="1" applyAlignment="1">
      <alignment horizontal="left" vertical="top"/>
    </xf>
    <xf numFmtId="0" fontId="6" fillId="25" borderId="16" xfId="0" applyFont="1" applyFill="1" applyBorder="1" applyAlignment="1">
      <alignment horizontal="left"/>
    </xf>
    <xf numFmtId="49" fontId="16" fillId="25" borderId="19" xfId="0" applyNumberFormat="1" applyFont="1" applyFill="1" applyBorder="1" applyAlignment="1" applyProtection="1">
      <alignment horizontal="left" vertical="center"/>
      <protection locked="0"/>
    </xf>
    <xf numFmtId="0" fontId="0" fillId="25" borderId="19" xfId="0" applyFill="1" applyBorder="1"/>
    <xf numFmtId="0" fontId="0" fillId="25" borderId="20" xfId="0" applyFill="1" applyBorder="1"/>
    <xf numFmtId="166" fontId="7" fillId="25" borderId="20" xfId="0" applyNumberFormat="1" applyFont="1" applyFill="1" applyBorder="1" applyAlignment="1" applyProtection="1">
      <alignment horizontal="center" vertical="center"/>
      <protection locked="0"/>
    </xf>
    <xf numFmtId="0" fontId="3" fillId="25" borderId="0" xfId="0" applyFont="1" applyFill="1" applyAlignment="1">
      <alignment vertical="top"/>
    </xf>
    <xf numFmtId="49" fontId="7" fillId="25" borderId="0" xfId="0" applyNumberFormat="1" applyFont="1" applyFill="1" applyAlignment="1" applyProtection="1">
      <alignment horizontal="left" vertical="center"/>
      <protection locked="0"/>
    </xf>
    <xf numFmtId="0" fontId="7" fillId="25" borderId="0" xfId="0" applyFont="1" applyFill="1" applyAlignment="1" applyProtection="1">
      <alignment horizontal="center" vertical="center"/>
      <protection locked="0"/>
    </xf>
    <xf numFmtId="0" fontId="7" fillId="25" borderId="0" xfId="0" applyFont="1" applyFill="1" applyAlignment="1">
      <alignment horizontal="left" vertical="center"/>
    </xf>
    <xf numFmtId="49" fontId="16" fillId="25" borderId="0" xfId="0" applyNumberFormat="1" applyFont="1" applyFill="1" applyAlignment="1" applyProtection="1">
      <alignment horizontal="left" vertical="center"/>
      <protection locked="0"/>
    </xf>
    <xf numFmtId="166" fontId="7" fillId="25" borderId="0" xfId="0" applyNumberFormat="1" applyFont="1" applyFill="1" applyAlignment="1" applyProtection="1">
      <alignment horizontal="center" vertical="center"/>
      <protection locked="0"/>
    </xf>
    <xf numFmtId="0" fontId="0" fillId="25" borderId="14" xfId="0" applyFill="1" applyBorder="1"/>
    <xf numFmtId="0" fontId="17" fillId="25" borderId="0" xfId="0" applyFont="1" applyFill="1"/>
    <xf numFmtId="0" fontId="3" fillId="25" borderId="0" xfId="0" applyFont="1" applyFill="1" applyAlignment="1">
      <alignment horizontal="center"/>
    </xf>
    <xf numFmtId="0" fontId="6" fillId="25" borderId="27" xfId="0" applyFont="1" applyFill="1" applyBorder="1" applyAlignment="1">
      <alignment horizontal="center" vertical="center"/>
    </xf>
    <xf numFmtId="0" fontId="7" fillId="25" borderId="0" xfId="0" applyFont="1" applyFill="1" applyAlignment="1">
      <alignment horizontal="center" vertical="center"/>
    </xf>
    <xf numFmtId="0" fontId="13" fillId="25" borderId="0" xfId="0" applyFont="1" applyFill="1" applyAlignment="1">
      <alignment vertical="top"/>
    </xf>
    <xf numFmtId="0" fontId="6" fillId="25" borderId="12" xfId="0" applyFont="1" applyFill="1" applyBorder="1" applyAlignment="1">
      <alignment horizontal="center" vertical="center"/>
    </xf>
    <xf numFmtId="0" fontId="8" fillId="25" borderId="0" xfId="0" applyFont="1" applyFill="1" applyAlignment="1">
      <alignment horizontal="right" vertical="center"/>
    </xf>
    <xf numFmtId="49" fontId="7" fillId="25" borderId="13" xfId="0" applyNumberFormat="1" applyFont="1" applyFill="1" applyBorder="1" applyAlignment="1" applyProtection="1">
      <alignment horizontal="center" vertical="center"/>
      <protection locked="0"/>
    </xf>
    <xf numFmtId="49" fontId="7" fillId="25" borderId="13" xfId="0" applyNumberFormat="1" applyFont="1" applyFill="1" applyBorder="1" applyAlignment="1" applyProtection="1">
      <alignment horizontal="left" vertical="center"/>
      <protection locked="0"/>
    </xf>
    <xf numFmtId="0" fontId="0" fillId="25" borderId="0" xfId="0" applyFill="1" applyAlignment="1">
      <alignment vertical="center"/>
    </xf>
    <xf numFmtId="0" fontId="7" fillId="25" borderId="0" xfId="0" applyFont="1" applyFill="1"/>
    <xf numFmtId="49" fontId="7" fillId="25" borderId="25" xfId="0" applyNumberFormat="1" applyFont="1" applyFill="1" applyBorder="1" applyAlignment="1" applyProtection="1">
      <alignment horizontal="center" vertical="center"/>
      <protection locked="0"/>
    </xf>
    <xf numFmtId="0" fontId="4" fillId="25" borderId="0" xfId="0" applyFont="1" applyFill="1" applyAlignment="1">
      <alignment horizontal="left" vertical="top"/>
    </xf>
    <xf numFmtId="0" fontId="5" fillId="25" borderId="0" xfId="0" applyFont="1" applyFill="1" applyAlignment="1">
      <alignment horizontal="center"/>
    </xf>
    <xf numFmtId="0" fontId="5" fillId="25" borderId="0" xfId="0" applyFont="1" applyFill="1"/>
    <xf numFmtId="0" fontId="64" fillId="25" borderId="0" xfId="0" applyFont="1" applyFill="1" applyAlignment="1">
      <alignment horizontal="center"/>
    </xf>
    <xf numFmtId="0" fontId="65" fillId="25" borderId="0" xfId="0" applyFont="1" applyFill="1"/>
    <xf numFmtId="0" fontId="6" fillId="25" borderId="0" xfId="0" applyFont="1" applyFill="1" applyAlignment="1">
      <alignment horizontal="left" vertical="center"/>
    </xf>
    <xf numFmtId="0" fontId="2" fillId="25" borderId="0" xfId="0" applyFont="1" applyFill="1"/>
    <xf numFmtId="0" fontId="1" fillId="25" borderId="0" xfId="0" applyFont="1" applyFill="1"/>
    <xf numFmtId="0" fontId="1" fillId="25" borderId="0" xfId="0" applyFont="1" applyFill="1" applyAlignment="1">
      <alignment horizontal="center"/>
    </xf>
    <xf numFmtId="0" fontId="13" fillId="25" borderId="0" xfId="0" applyFont="1" applyFill="1" applyAlignment="1">
      <alignment horizontal="center"/>
    </xf>
    <xf numFmtId="0" fontId="0" fillId="25" borderId="0" xfId="0" applyFill="1" applyAlignment="1">
      <alignment horizontal="left" vertical="center"/>
    </xf>
    <xf numFmtId="0" fontId="0" fillId="25" borderId="46" xfId="0" applyFill="1" applyBorder="1"/>
    <xf numFmtId="0" fontId="5" fillId="25" borderId="0" xfId="0" applyFont="1" applyFill="1" applyAlignment="1">
      <alignment horizontal="center" vertical="center"/>
    </xf>
    <xf numFmtId="0" fontId="0" fillId="25" borderId="15" xfId="0" applyFill="1" applyBorder="1"/>
    <xf numFmtId="0" fontId="6" fillId="25" borderId="11" xfId="0" applyFont="1" applyFill="1" applyBorder="1" applyAlignment="1">
      <alignment vertical="center"/>
    </xf>
    <xf numFmtId="0" fontId="6" fillId="25" borderId="14" xfId="0" applyFont="1" applyFill="1" applyBorder="1" applyAlignment="1">
      <alignment vertical="center"/>
    </xf>
    <xf numFmtId="0" fontId="6" fillId="25" borderId="16" xfId="0" applyFont="1" applyFill="1" applyBorder="1" applyAlignment="1">
      <alignment vertical="center"/>
    </xf>
    <xf numFmtId="0" fontId="6" fillId="25" borderId="11" xfId="0" applyFont="1" applyFill="1" applyBorder="1" applyAlignment="1">
      <alignment horizontal="left" vertical="center"/>
    </xf>
    <xf numFmtId="49" fontId="7" fillId="25" borderId="10" xfId="0" applyNumberFormat="1" applyFont="1" applyFill="1" applyBorder="1" applyAlignment="1" applyProtection="1">
      <alignment horizontal="left"/>
      <protection locked="0"/>
    </xf>
    <xf numFmtId="0" fontId="7" fillId="25" borderId="0" xfId="0" applyFont="1" applyFill="1" applyAlignment="1">
      <alignment horizontal="left"/>
    </xf>
    <xf numFmtId="0" fontId="3" fillId="25" borderId="0" xfId="0" applyFont="1" applyFill="1" applyAlignment="1">
      <alignment horizontal="left"/>
    </xf>
    <xf numFmtId="0" fontId="5" fillId="25" borderId="0" xfId="0" applyFont="1" applyFill="1" applyAlignment="1">
      <alignment horizontal="right" vertical="center"/>
    </xf>
    <xf numFmtId="0" fontId="6" fillId="25" borderId="14" xfId="0" applyFont="1" applyFill="1" applyBorder="1" applyAlignment="1">
      <alignment vertical="top"/>
    </xf>
    <xf numFmtId="0" fontId="6" fillId="25" borderId="11" xfId="0" applyFont="1" applyFill="1" applyBorder="1" applyAlignment="1">
      <alignment vertical="top"/>
    </xf>
    <xf numFmtId="0" fontId="6" fillId="25" borderId="16" xfId="0" applyFont="1" applyFill="1" applyBorder="1" applyAlignment="1">
      <alignment vertical="top"/>
    </xf>
    <xf numFmtId="0" fontId="6" fillId="25" borderId="11" xfId="0" applyFont="1" applyFill="1" applyBorder="1" applyAlignment="1" applyProtection="1">
      <alignment horizontal="left" vertical="top"/>
      <protection locked="0"/>
    </xf>
    <xf numFmtId="0" fontId="6" fillId="25" borderId="27" xfId="0" applyFont="1" applyFill="1" applyBorder="1" applyAlignment="1" applyProtection="1">
      <alignment vertical="top"/>
      <protection locked="0"/>
    </xf>
    <xf numFmtId="0" fontId="6" fillId="25" borderId="27" xfId="0" applyFont="1" applyFill="1" applyBorder="1" applyAlignment="1" applyProtection="1">
      <alignment horizontal="left" vertical="top"/>
      <protection locked="0"/>
    </xf>
    <xf numFmtId="49" fontId="0" fillId="25" borderId="10" xfId="0" applyNumberFormat="1" applyFill="1" applyBorder="1" applyAlignment="1" applyProtection="1">
      <alignment horizontal="center" vertical="center"/>
      <protection locked="0"/>
    </xf>
    <xf numFmtId="49" fontId="0" fillId="25" borderId="12" xfId="0" applyNumberFormat="1" applyFill="1" applyBorder="1" applyAlignment="1" applyProtection="1">
      <alignment vertical="center"/>
      <protection locked="0"/>
    </xf>
    <xf numFmtId="0" fontId="0" fillId="25" borderId="12" xfId="0" applyFill="1" applyBorder="1" applyAlignment="1" applyProtection="1">
      <alignment horizontal="center" vertical="center"/>
      <protection locked="0"/>
    </xf>
    <xf numFmtId="0" fontId="3" fillId="25" borderId="18" xfId="0" applyFont="1" applyFill="1" applyBorder="1" applyAlignment="1">
      <alignment horizontal="center"/>
    </xf>
    <xf numFmtId="0" fontId="19" fillId="25" borderId="13" xfId="0" applyFont="1" applyFill="1" applyBorder="1" applyAlignment="1">
      <alignment horizontal="center" vertical="center"/>
    </xf>
    <xf numFmtId="0" fontId="8" fillId="25" borderId="18" xfId="0" applyFont="1" applyFill="1" applyBorder="1" applyAlignment="1">
      <alignment horizontal="right" vertical="center"/>
    </xf>
    <xf numFmtId="49" fontId="0" fillId="25" borderId="13" xfId="0" applyNumberFormat="1" applyFill="1" applyBorder="1" applyAlignment="1" applyProtection="1">
      <alignment horizontal="left"/>
      <protection locked="0"/>
    </xf>
    <xf numFmtId="49" fontId="7" fillId="25" borderId="13" xfId="0" applyNumberFormat="1" applyFont="1" applyFill="1" applyBorder="1" applyAlignment="1" applyProtection="1">
      <alignment horizontal="center"/>
      <protection locked="0"/>
    </xf>
    <xf numFmtId="49" fontId="7" fillId="25" borderId="13" xfId="0" applyNumberFormat="1" applyFont="1" applyFill="1" applyBorder="1" applyAlignment="1" applyProtection="1">
      <alignment horizontal="left"/>
      <protection locked="0"/>
    </xf>
    <xf numFmtId="49" fontId="0" fillId="25" borderId="13" xfId="0" applyNumberFormat="1" applyFill="1" applyBorder="1" applyAlignment="1" applyProtection="1">
      <alignment horizontal="center"/>
      <protection locked="0"/>
    </xf>
    <xf numFmtId="49" fontId="0" fillId="25" borderId="25" xfId="0" applyNumberFormat="1" applyFill="1" applyBorder="1" applyAlignment="1" applyProtection="1">
      <alignment horizontal="center"/>
      <protection locked="0"/>
    </xf>
    <xf numFmtId="49" fontId="7" fillId="25" borderId="25" xfId="0" applyNumberFormat="1" applyFont="1" applyFill="1" applyBorder="1" applyAlignment="1" applyProtection="1">
      <alignment horizontal="left"/>
      <protection locked="0"/>
    </xf>
    <xf numFmtId="49" fontId="7" fillId="25" borderId="25" xfId="0" applyNumberFormat="1" applyFont="1" applyFill="1" applyBorder="1" applyAlignment="1" applyProtection="1">
      <alignment horizontal="center"/>
      <protection locked="0"/>
    </xf>
    <xf numFmtId="0" fontId="3" fillId="25" borderId="0" xfId="0" applyFont="1" applyFill="1"/>
    <xf numFmtId="0" fontId="0" fillId="25" borderId="18" xfId="0" applyFill="1" applyBorder="1"/>
    <xf numFmtId="0" fontId="2" fillId="25" borderId="27" xfId="0" applyFont="1" applyFill="1" applyBorder="1" applyAlignment="1">
      <alignment horizontal="center"/>
    </xf>
    <xf numFmtId="0" fontId="2" fillId="25" borderId="22" xfId="0" applyFont="1" applyFill="1" applyBorder="1" applyAlignment="1">
      <alignment horizontal="center"/>
    </xf>
    <xf numFmtId="0" fontId="2" fillId="25" borderId="12" xfId="0" applyFont="1" applyFill="1" applyBorder="1" applyAlignment="1">
      <alignment horizontal="center"/>
    </xf>
    <xf numFmtId="0" fontId="19" fillId="25" borderId="24" xfId="0" applyFont="1" applyFill="1" applyBorder="1" applyAlignment="1">
      <alignment horizontal="center"/>
    </xf>
    <xf numFmtId="0" fontId="5" fillId="25" borderId="24" xfId="0" applyFont="1" applyFill="1" applyBorder="1" applyAlignment="1">
      <alignment horizontal="center"/>
    </xf>
    <xf numFmtId="0" fontId="60" fillId="25" borderId="14" xfId="0" applyFont="1" applyFill="1" applyBorder="1" applyAlignment="1">
      <alignment horizontal="center"/>
    </xf>
    <xf numFmtId="0" fontId="19" fillId="25" borderId="13" xfId="0" applyFont="1" applyFill="1" applyBorder="1" applyAlignment="1">
      <alignment horizontal="center"/>
    </xf>
    <xf numFmtId="0" fontId="19" fillId="25" borderId="17" xfId="0" applyFont="1" applyFill="1" applyBorder="1" applyAlignment="1">
      <alignment horizontal="center"/>
    </xf>
    <xf numFmtId="0" fontId="61" fillId="25" borderId="27" xfId="0" applyFont="1" applyFill="1" applyBorder="1"/>
    <xf numFmtId="0" fontId="61" fillId="25" borderId="22" xfId="0" applyFont="1" applyFill="1" applyBorder="1"/>
    <xf numFmtId="14" fontId="0" fillId="25" borderId="12" xfId="0" applyNumberFormat="1" applyFill="1" applyBorder="1" applyAlignment="1" applyProtection="1">
      <alignment horizontal="left"/>
      <protection locked="0"/>
    </xf>
    <xf numFmtId="0" fontId="61" fillId="25" borderId="12" xfId="0" applyFont="1" applyFill="1" applyBorder="1"/>
    <xf numFmtId="0" fontId="6" fillId="0" borderId="14" xfId="0" applyFont="1" applyBorder="1" applyAlignment="1">
      <alignment horizontal="left" vertical="top"/>
    </xf>
    <xf numFmtId="49" fontId="2" fillId="0" borderId="10" xfId="0" applyNumberFormat="1" applyFont="1" applyBorder="1" applyAlignment="1" applyProtection="1">
      <alignment vertical="center"/>
      <protection locked="0"/>
    </xf>
    <xf numFmtId="0" fontId="4" fillId="0" borderId="0" xfId="0" applyFont="1" applyAlignment="1" applyProtection="1">
      <alignment horizontal="left" vertical="top"/>
      <protection locked="0"/>
    </xf>
    <xf numFmtId="0" fontId="6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1" fillId="0" borderId="0" xfId="0" applyFont="1" applyProtection="1">
      <protection locked="0"/>
    </xf>
    <xf numFmtId="0" fontId="1" fillId="0" borderId="18" xfId="0" applyFont="1" applyBorder="1" applyProtection="1">
      <protection locked="0"/>
    </xf>
    <xf numFmtId="49" fontId="1" fillId="0" borderId="12" xfId="0" applyNumberFormat="1" applyFont="1" applyBorder="1" applyAlignment="1" applyProtection="1">
      <alignment horizontal="left" vertical="center"/>
      <protection locked="0"/>
    </xf>
    <xf numFmtId="0" fontId="1" fillId="0" borderId="0" xfId="0" applyFont="1" applyAlignment="1">
      <alignment vertical="top"/>
    </xf>
    <xf numFmtId="0" fontId="1" fillId="0" borderId="18" xfId="0" applyFont="1" applyBorder="1" applyProtection="1">
      <protection hidden="1"/>
    </xf>
    <xf numFmtId="14" fontId="1" fillId="0" borderId="0" xfId="0" applyNumberFormat="1" applyFont="1"/>
    <xf numFmtId="165" fontId="1" fillId="24" borderId="12" xfId="0" applyNumberFormat="1" applyFont="1" applyFill="1" applyBorder="1" applyAlignment="1">
      <alignment horizontal="center" vertical="center"/>
    </xf>
    <xf numFmtId="0" fontId="1" fillId="0" borderId="14" xfId="0" applyFont="1" applyBorder="1" applyAlignment="1" applyProtection="1">
      <alignment horizontal="center" vertical="center"/>
      <protection hidden="1"/>
    </xf>
    <xf numFmtId="166" fontId="1" fillId="0" borderId="0" xfId="0" applyNumberFormat="1" applyFont="1" applyAlignment="1" applyProtection="1">
      <alignment horizontal="center" vertical="center"/>
      <protection hidden="1"/>
    </xf>
    <xf numFmtId="14" fontId="1" fillId="0" borderId="0" xfId="0" applyNumberFormat="1" applyFont="1" applyAlignment="1" applyProtection="1">
      <alignment horizontal="left" vertical="center"/>
      <protection hidden="1"/>
    </xf>
    <xf numFmtId="0" fontId="1" fillId="0" borderId="14" xfId="0" applyFont="1" applyBorder="1" applyAlignment="1" applyProtection="1">
      <alignment horizontal="left" vertical="center"/>
      <protection locked="0"/>
    </xf>
    <xf numFmtId="0" fontId="1" fillId="0" borderId="19" xfId="0" applyFont="1" applyBorder="1" applyAlignment="1">
      <alignment horizontal="left"/>
    </xf>
    <xf numFmtId="49" fontId="1" fillId="0" borderId="10" xfId="0" applyNumberFormat="1" applyFont="1" applyBorder="1" applyAlignment="1" applyProtection="1">
      <alignment horizontal="left"/>
      <protection locked="0"/>
    </xf>
    <xf numFmtId="165" fontId="1" fillId="24" borderId="10" xfId="0" applyNumberFormat="1" applyFont="1" applyFill="1" applyBorder="1" applyAlignment="1">
      <alignment horizontal="center" vertical="center"/>
    </xf>
    <xf numFmtId="166" fontId="1" fillId="24" borderId="12" xfId="0" applyNumberFormat="1" applyFont="1" applyFill="1" applyBorder="1" applyAlignment="1">
      <alignment horizontal="center" vertical="center"/>
    </xf>
    <xf numFmtId="165" fontId="1" fillId="24" borderId="20" xfId="0" applyNumberFormat="1" applyFont="1" applyFill="1" applyBorder="1" applyAlignment="1">
      <alignment horizontal="center" vertical="center"/>
    </xf>
    <xf numFmtId="14" fontId="1" fillId="24" borderId="12" xfId="0" applyNumberFormat="1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5" borderId="0" xfId="0" applyFont="1" applyFill="1" applyAlignment="1">
      <alignment vertical="top"/>
    </xf>
    <xf numFmtId="0" fontId="4" fillId="0" borderId="0" xfId="0" applyFont="1" applyAlignment="1">
      <alignment horizontal="left"/>
    </xf>
    <xf numFmtId="0" fontId="6" fillId="0" borderId="17" xfId="0" applyFont="1" applyBorder="1" applyAlignment="1">
      <alignment horizontal="center" vertical="top"/>
    </xf>
    <xf numFmtId="0" fontId="75" fillId="25" borderId="0" xfId="0" applyFont="1" applyFill="1" applyAlignment="1">
      <alignment horizontal="center"/>
    </xf>
    <xf numFmtId="0" fontId="76" fillId="25" borderId="0" xfId="0" applyFont="1" applyFill="1"/>
    <xf numFmtId="0" fontId="4" fillId="25" borderId="0" xfId="0" applyFont="1" applyFill="1" applyAlignment="1">
      <alignment horizontal="left"/>
    </xf>
    <xf numFmtId="0" fontId="4" fillId="25" borderId="18" xfId="0" applyFont="1" applyFill="1" applyBorder="1" applyAlignment="1">
      <alignment horizontal="left"/>
    </xf>
    <xf numFmtId="0" fontId="2" fillId="25" borderId="17" xfId="0" applyFont="1" applyFill="1" applyBorder="1" applyAlignment="1">
      <alignment horizontal="right"/>
    </xf>
    <xf numFmtId="0" fontId="2" fillId="25" borderId="18" xfId="0" applyFont="1" applyFill="1" applyBorder="1" applyAlignment="1">
      <alignment horizontal="right"/>
    </xf>
    <xf numFmtId="14" fontId="0" fillId="25" borderId="10" xfId="0" applyNumberFormat="1" applyFill="1" applyBorder="1" applyAlignment="1" applyProtection="1">
      <alignment horizontal="left"/>
      <protection locked="0"/>
    </xf>
    <xf numFmtId="0" fontId="0" fillId="25" borderId="20" xfId="0" applyFill="1" applyBorder="1" applyAlignment="1" applyProtection="1">
      <alignment horizontal="left"/>
      <protection locked="0"/>
    </xf>
    <xf numFmtId="0" fontId="19" fillId="25" borderId="17" xfId="0" applyFont="1" applyFill="1" applyBorder="1" applyAlignment="1">
      <alignment horizontal="left"/>
    </xf>
    <xf numFmtId="0" fontId="19" fillId="25" borderId="0" xfId="0" applyFont="1" applyFill="1" applyAlignment="1">
      <alignment horizontal="left"/>
    </xf>
    <xf numFmtId="0" fontId="19" fillId="25" borderId="18" xfId="0" applyFont="1" applyFill="1" applyBorder="1" applyAlignment="1">
      <alignment horizontal="left"/>
    </xf>
    <xf numFmtId="49" fontId="7" fillId="25" borderId="17" xfId="0" applyNumberFormat="1" applyFont="1" applyFill="1" applyBorder="1" applyAlignment="1" applyProtection="1">
      <alignment horizontal="left"/>
      <protection locked="0"/>
    </xf>
    <xf numFmtId="0" fontId="0" fillId="25" borderId="0" xfId="0" applyFill="1" applyAlignment="1" applyProtection="1">
      <alignment horizontal="left"/>
      <protection locked="0"/>
    </xf>
    <xf numFmtId="0" fontId="0" fillId="25" borderId="18" xfId="0" applyFill="1" applyBorder="1" applyAlignment="1" applyProtection="1">
      <alignment horizontal="left"/>
      <protection locked="0"/>
    </xf>
    <xf numFmtId="0" fontId="0" fillId="25" borderId="10" xfId="0" applyFill="1" applyBorder="1" applyAlignment="1" applyProtection="1">
      <alignment horizontal="left"/>
      <protection locked="0"/>
    </xf>
    <xf numFmtId="0" fontId="0" fillId="25" borderId="19" xfId="0" applyFill="1" applyBorder="1" applyAlignment="1" applyProtection="1">
      <alignment horizontal="left"/>
      <protection locked="0"/>
    </xf>
    <xf numFmtId="0" fontId="4" fillId="25" borderId="19" xfId="0" applyFont="1" applyFill="1" applyBorder="1" applyAlignment="1" applyProtection="1">
      <alignment horizontal="left"/>
      <protection locked="0"/>
    </xf>
    <xf numFmtId="0" fontId="4" fillId="25" borderId="20" xfId="0" applyFont="1" applyFill="1" applyBorder="1" applyAlignment="1" applyProtection="1">
      <alignment horizontal="left"/>
      <protection locked="0"/>
    </xf>
    <xf numFmtId="0" fontId="2" fillId="25" borderId="10" xfId="0" applyFont="1" applyFill="1" applyBorder="1" applyAlignment="1">
      <alignment horizontal="right"/>
    </xf>
    <xf numFmtId="0" fontId="2" fillId="25" borderId="20" xfId="0" applyFont="1" applyFill="1" applyBorder="1" applyAlignment="1">
      <alignment horizontal="right"/>
    </xf>
    <xf numFmtId="49" fontId="7" fillId="25" borderId="11" xfId="0" applyNumberFormat="1" applyFont="1" applyFill="1" applyBorder="1" applyAlignment="1" applyProtection="1">
      <alignment horizontal="left" vertical="top" wrapText="1"/>
      <protection locked="0"/>
    </xf>
    <xf numFmtId="49" fontId="7" fillId="25" borderId="14" xfId="0" applyNumberFormat="1" applyFont="1" applyFill="1" applyBorder="1" applyAlignment="1" applyProtection="1">
      <alignment horizontal="left" vertical="top" wrapText="1"/>
      <protection locked="0"/>
    </xf>
    <xf numFmtId="49" fontId="7" fillId="25" borderId="16" xfId="0" applyNumberFormat="1" applyFont="1" applyFill="1" applyBorder="1" applyAlignment="1" applyProtection="1">
      <alignment horizontal="left" vertical="top" wrapText="1"/>
      <protection locked="0"/>
    </xf>
    <xf numFmtId="49" fontId="7" fillId="25" borderId="10" xfId="0" applyNumberFormat="1" applyFont="1" applyFill="1" applyBorder="1" applyAlignment="1" applyProtection="1">
      <alignment horizontal="left" vertical="top" wrapText="1"/>
      <protection locked="0"/>
    </xf>
    <xf numFmtId="49" fontId="7" fillId="25" borderId="19" xfId="0" applyNumberFormat="1" applyFont="1" applyFill="1" applyBorder="1" applyAlignment="1" applyProtection="1">
      <alignment horizontal="left" vertical="top" wrapText="1"/>
      <protection locked="0"/>
    </xf>
    <xf numFmtId="49" fontId="7" fillId="25" borderId="20" xfId="0" applyNumberFormat="1" applyFont="1" applyFill="1" applyBorder="1" applyAlignment="1" applyProtection="1">
      <alignment horizontal="left" vertical="top" wrapText="1"/>
      <protection locked="0"/>
    </xf>
    <xf numFmtId="0" fontId="4" fillId="25" borderId="0" xfId="0" applyFont="1" applyFill="1" applyAlignment="1" applyProtection="1">
      <alignment horizontal="left"/>
      <protection locked="0"/>
    </xf>
    <xf numFmtId="0" fontId="19" fillId="25" borderId="13" xfId="0" applyFont="1" applyFill="1" applyBorder="1" applyAlignment="1">
      <alignment horizontal="center"/>
    </xf>
    <xf numFmtId="0" fontId="19" fillId="25" borderId="22" xfId="0" applyFont="1" applyFill="1" applyBorder="1" applyAlignment="1">
      <alignment horizontal="center"/>
    </xf>
    <xf numFmtId="0" fontId="19" fillId="25" borderId="27" xfId="0" applyFont="1" applyFill="1" applyBorder="1" applyAlignment="1">
      <alignment wrapText="1"/>
    </xf>
    <xf numFmtId="0" fontId="0" fillId="25" borderId="22" xfId="0" applyFill="1" applyBorder="1" applyAlignment="1">
      <alignment wrapText="1"/>
    </xf>
    <xf numFmtId="0" fontId="19" fillId="25" borderId="11" xfId="0" applyFont="1" applyFill="1" applyBorder="1" applyAlignment="1">
      <alignment horizontal="left" vertical="top"/>
    </xf>
    <xf numFmtId="0" fontId="0" fillId="25" borderId="16" xfId="0" applyFill="1" applyBorder="1" applyAlignment="1">
      <alignment horizontal="left" vertical="top"/>
    </xf>
    <xf numFmtId="0" fontId="0" fillId="25" borderId="17" xfId="0" applyFill="1" applyBorder="1" applyAlignment="1">
      <alignment horizontal="left" vertical="top"/>
    </xf>
    <xf numFmtId="0" fontId="0" fillId="25" borderId="18" xfId="0" applyFill="1" applyBorder="1" applyAlignment="1">
      <alignment horizontal="left" vertical="top"/>
    </xf>
    <xf numFmtId="0" fontId="2" fillId="25" borderId="11" xfId="0" applyFont="1" applyFill="1" applyBorder="1" applyAlignment="1">
      <alignment horizontal="right"/>
    </xf>
    <xf numFmtId="0" fontId="2" fillId="25" borderId="16" xfId="0" applyFont="1" applyFill="1" applyBorder="1" applyAlignment="1">
      <alignment horizontal="right"/>
    </xf>
    <xf numFmtId="49" fontId="19" fillId="25" borderId="11" xfId="0" applyNumberFormat="1" applyFont="1" applyFill="1" applyBorder="1" applyAlignment="1">
      <alignment horizontal="center"/>
    </xf>
    <xf numFmtId="49" fontId="19" fillId="25" borderId="14" xfId="0" applyNumberFormat="1" applyFont="1" applyFill="1" applyBorder="1" applyAlignment="1">
      <alignment horizontal="center"/>
    </xf>
    <xf numFmtId="49" fontId="19" fillId="25" borderId="16" xfId="0" applyNumberFormat="1" applyFont="1" applyFill="1" applyBorder="1" applyAlignment="1">
      <alignment horizontal="center"/>
    </xf>
    <xf numFmtId="49" fontId="19" fillId="25" borderId="10" xfId="0" applyNumberFormat="1" applyFont="1" applyFill="1" applyBorder="1" applyAlignment="1">
      <alignment horizontal="center"/>
    </xf>
    <xf numFmtId="49" fontId="19" fillId="25" borderId="19" xfId="0" applyNumberFormat="1" applyFont="1" applyFill="1" applyBorder="1" applyAlignment="1">
      <alignment horizontal="center"/>
    </xf>
    <xf numFmtId="49" fontId="19" fillId="25" borderId="20" xfId="0" applyNumberFormat="1" applyFont="1" applyFill="1" applyBorder="1" applyAlignment="1">
      <alignment horizontal="center"/>
    </xf>
    <xf numFmtId="0" fontId="19" fillId="25" borderId="25" xfId="0" applyFont="1" applyFill="1" applyBorder="1" applyAlignment="1">
      <alignment horizontal="center"/>
    </xf>
    <xf numFmtId="0" fontId="19" fillId="25" borderId="43" xfId="0" applyFont="1" applyFill="1" applyBorder="1" applyAlignment="1">
      <alignment horizontal="center"/>
    </xf>
    <xf numFmtId="0" fontId="19" fillId="25" borderId="24" xfId="0" applyFont="1" applyFill="1" applyBorder="1" applyAlignment="1">
      <alignment horizontal="center"/>
    </xf>
    <xf numFmtId="49" fontId="1" fillId="25" borderId="11" xfId="0" applyNumberFormat="1" applyFont="1" applyFill="1" applyBorder="1" applyAlignment="1" applyProtection="1">
      <alignment horizontal="left" vertical="top" wrapText="1"/>
      <protection locked="0"/>
    </xf>
    <xf numFmtId="0" fontId="0" fillId="25" borderId="13" xfId="0" applyFill="1" applyBorder="1" applyAlignment="1" applyProtection="1">
      <alignment horizontal="center"/>
      <protection locked="0"/>
    </xf>
    <xf numFmtId="49" fontId="7" fillId="25" borderId="43" xfId="0" applyNumberFormat="1" applyFont="1" applyFill="1" applyBorder="1" applyAlignment="1" applyProtection="1">
      <alignment horizontal="left" wrapText="1"/>
      <protection locked="0"/>
    </xf>
    <xf numFmtId="0" fontId="0" fillId="25" borderId="27" xfId="0" applyFill="1" applyBorder="1" applyAlignment="1" applyProtection="1">
      <alignment horizontal="center"/>
      <protection locked="0"/>
    </xf>
    <xf numFmtId="0" fontId="0" fillId="25" borderId="12" xfId="0" applyFill="1" applyBorder="1" applyAlignment="1" applyProtection="1">
      <alignment horizontal="center"/>
      <protection locked="0"/>
    </xf>
    <xf numFmtId="0" fontId="19" fillId="25" borderId="25" xfId="0" applyFont="1" applyFill="1" applyBorder="1" applyAlignment="1">
      <alignment horizontal="center" vertical="center"/>
    </xf>
    <xf numFmtId="0" fontId="19" fillId="25" borderId="43" xfId="0" applyFont="1" applyFill="1" applyBorder="1" applyAlignment="1">
      <alignment horizontal="center" vertical="center"/>
    </xf>
    <xf numFmtId="0" fontId="19" fillId="25" borderId="24" xfId="0" applyFont="1" applyFill="1" applyBorder="1" applyAlignment="1">
      <alignment horizontal="center" vertical="center"/>
    </xf>
    <xf numFmtId="49" fontId="7" fillId="25" borderId="11" xfId="0" applyNumberFormat="1" applyFont="1" applyFill="1" applyBorder="1" applyAlignment="1" applyProtection="1">
      <alignment horizontal="left" wrapText="1"/>
      <protection locked="0"/>
    </xf>
    <xf numFmtId="49" fontId="7" fillId="25" borderId="14" xfId="0" applyNumberFormat="1" applyFont="1" applyFill="1" applyBorder="1" applyAlignment="1" applyProtection="1">
      <alignment horizontal="left" wrapText="1"/>
      <protection locked="0"/>
    </xf>
    <xf numFmtId="49" fontId="7" fillId="25" borderId="16" xfId="0" applyNumberFormat="1" applyFont="1" applyFill="1" applyBorder="1" applyAlignment="1" applyProtection="1">
      <alignment horizontal="left" wrapText="1"/>
      <protection locked="0"/>
    </xf>
    <xf numFmtId="49" fontId="7" fillId="25" borderId="10" xfId="0" applyNumberFormat="1" applyFont="1" applyFill="1" applyBorder="1" applyAlignment="1" applyProtection="1">
      <alignment horizontal="left" wrapText="1"/>
      <protection locked="0"/>
    </xf>
    <xf numFmtId="49" fontId="7" fillId="25" borderId="19" xfId="0" applyNumberFormat="1" applyFont="1" applyFill="1" applyBorder="1" applyAlignment="1" applyProtection="1">
      <alignment horizontal="left" wrapText="1"/>
      <protection locked="0"/>
    </xf>
    <xf numFmtId="49" fontId="7" fillId="25" borderId="20" xfId="0" applyNumberFormat="1" applyFont="1" applyFill="1" applyBorder="1" applyAlignment="1" applyProtection="1">
      <alignment horizontal="left" wrapText="1"/>
      <protection locked="0"/>
    </xf>
    <xf numFmtId="0" fontId="1" fillId="25" borderId="27" xfId="0" applyFont="1" applyFill="1" applyBorder="1" applyAlignment="1" applyProtection="1">
      <alignment horizontal="center"/>
      <protection locked="0"/>
    </xf>
    <xf numFmtId="49" fontId="7" fillId="25" borderId="25" xfId="0" applyNumberFormat="1" applyFont="1" applyFill="1" applyBorder="1" applyAlignment="1" applyProtection="1">
      <alignment horizontal="left"/>
      <protection locked="0"/>
    </xf>
    <xf numFmtId="49" fontId="0" fillId="25" borderId="43" xfId="0" applyNumberFormat="1" applyFill="1" applyBorder="1" applyAlignment="1" applyProtection="1">
      <alignment horizontal="left"/>
      <protection locked="0"/>
    </xf>
    <xf numFmtId="49" fontId="0" fillId="25" borderId="24" xfId="0" applyNumberFormat="1" applyFill="1" applyBorder="1" applyAlignment="1" applyProtection="1">
      <alignment horizontal="left"/>
      <protection locked="0"/>
    </xf>
    <xf numFmtId="49" fontId="7" fillId="25" borderId="13" xfId="0" applyNumberFormat="1" applyFont="1" applyFill="1" applyBorder="1" applyAlignment="1" applyProtection="1">
      <alignment horizontal="left"/>
      <protection locked="0"/>
    </xf>
    <xf numFmtId="49" fontId="0" fillId="25" borderId="13" xfId="0" applyNumberFormat="1" applyFill="1" applyBorder="1" applyAlignment="1" applyProtection="1">
      <alignment horizontal="left"/>
      <protection locked="0"/>
    </xf>
    <xf numFmtId="0" fontId="19" fillId="25" borderId="13" xfId="0" applyFont="1" applyFill="1" applyBorder="1" applyAlignment="1">
      <alignment horizontal="center" vertical="center"/>
    </xf>
    <xf numFmtId="0" fontId="3" fillId="25" borderId="43" xfId="0" applyFont="1" applyFill="1" applyBorder="1" applyAlignment="1">
      <alignment horizontal="left" vertical="center"/>
    </xf>
    <xf numFmtId="0" fontId="6" fillId="25" borderId="11" xfId="0" applyFont="1" applyFill="1" applyBorder="1" applyAlignment="1">
      <alignment horizontal="left" vertical="top"/>
    </xf>
    <xf numFmtId="0" fontId="0" fillId="25" borderId="14" xfId="0" applyFill="1" applyBorder="1"/>
    <xf numFmtId="0" fontId="0" fillId="25" borderId="16" xfId="0" applyFill="1" applyBorder="1"/>
    <xf numFmtId="0" fontId="6" fillId="25" borderId="16" xfId="0" applyFont="1" applyFill="1" applyBorder="1" applyAlignment="1">
      <alignment horizontal="left" vertical="top"/>
    </xf>
    <xf numFmtId="0" fontId="11" fillId="25" borderId="16" xfId="0" applyFont="1" applyFill="1" applyBorder="1" applyAlignment="1" applyProtection="1">
      <alignment horizontal="center"/>
      <protection locked="0"/>
    </xf>
    <xf numFmtId="0" fontId="0" fillId="25" borderId="20" xfId="0" applyFill="1" applyBorder="1" applyProtection="1">
      <protection locked="0"/>
    </xf>
    <xf numFmtId="0" fontId="11" fillId="25" borderId="0" xfId="0" applyFont="1" applyFill="1" applyAlignment="1">
      <alignment horizontal="left"/>
    </xf>
    <xf numFmtId="165" fontId="3" fillId="25" borderId="10" xfId="0" applyNumberFormat="1" applyFont="1" applyFill="1" applyBorder="1" applyAlignment="1">
      <alignment horizontal="left" vertical="center"/>
    </xf>
    <xf numFmtId="0" fontId="3" fillId="25" borderId="19" xfId="0" applyFont="1" applyFill="1" applyBorder="1" applyAlignment="1">
      <alignment horizontal="left" vertical="center"/>
    </xf>
    <xf numFmtId="0" fontId="3" fillId="25" borderId="20" xfId="0" applyFont="1" applyFill="1" applyBorder="1" applyAlignment="1">
      <alignment horizontal="left" vertical="center"/>
    </xf>
    <xf numFmtId="0" fontId="3" fillId="25" borderId="10" xfId="0" applyFont="1" applyFill="1" applyBorder="1" applyAlignment="1" applyProtection="1">
      <alignment horizontal="left" vertical="center"/>
      <protection locked="0"/>
    </xf>
    <xf numFmtId="0" fontId="3" fillId="25" borderId="20" xfId="0" applyFont="1" applyFill="1" applyBorder="1" applyAlignment="1" applyProtection="1">
      <alignment horizontal="left" vertical="center"/>
      <protection locked="0"/>
    </xf>
    <xf numFmtId="0" fontId="0" fillId="25" borderId="19" xfId="0" applyFill="1" applyBorder="1" applyAlignment="1">
      <alignment horizontal="left" vertical="top"/>
    </xf>
    <xf numFmtId="0" fontId="3" fillId="25" borderId="18" xfId="0" applyFont="1" applyFill="1" applyBorder="1" applyAlignment="1">
      <alignment horizontal="center" vertical="top"/>
    </xf>
    <xf numFmtId="0" fontId="7" fillId="25" borderId="18" xfId="0" applyFont="1" applyFill="1" applyBorder="1" applyAlignment="1">
      <alignment horizontal="center" vertical="top"/>
    </xf>
    <xf numFmtId="165" fontId="0" fillId="25" borderId="10" xfId="0" applyNumberFormat="1" applyFill="1" applyBorder="1" applyAlignment="1">
      <alignment horizontal="left" vertical="center"/>
    </xf>
    <xf numFmtId="165" fontId="0" fillId="25" borderId="19" xfId="0" applyNumberFormat="1" applyFill="1" applyBorder="1" applyAlignment="1">
      <alignment horizontal="left" vertical="center"/>
    </xf>
    <xf numFmtId="165" fontId="0" fillId="25" borderId="20" xfId="0" applyNumberFormat="1" applyFill="1" applyBorder="1" applyAlignment="1">
      <alignment horizontal="left" vertical="center"/>
    </xf>
    <xf numFmtId="165" fontId="7" fillId="25" borderId="10" xfId="0" applyNumberFormat="1" applyFont="1" applyFill="1" applyBorder="1" applyAlignment="1">
      <alignment horizontal="left" vertical="center"/>
    </xf>
    <xf numFmtId="165" fontId="7" fillId="25" borderId="20" xfId="0" applyNumberFormat="1" applyFont="1" applyFill="1" applyBorder="1" applyAlignment="1">
      <alignment horizontal="left" vertical="center"/>
    </xf>
    <xf numFmtId="0" fontId="3" fillId="0" borderId="18" xfId="0" applyFont="1" applyBorder="1" applyAlignment="1">
      <alignment horizontal="center" vertical="center"/>
    </xf>
    <xf numFmtId="49" fontId="1" fillId="0" borderId="10" xfId="0" applyNumberFormat="1" applyFont="1" applyBorder="1" applyAlignment="1" applyProtection="1">
      <alignment horizontal="left" vertical="center"/>
      <protection locked="0"/>
    </xf>
    <xf numFmtId="49" fontId="1" fillId="0" borderId="19" xfId="0" applyNumberFormat="1" applyFont="1" applyBorder="1" applyAlignment="1" applyProtection="1">
      <alignment horizontal="left" vertical="center"/>
      <protection locked="0"/>
    </xf>
    <xf numFmtId="49" fontId="1" fillId="0" borderId="20" xfId="0" applyNumberFormat="1" applyFont="1" applyBorder="1" applyAlignment="1" applyProtection="1">
      <alignment horizontal="left" vertical="center"/>
      <protection locked="0"/>
    </xf>
    <xf numFmtId="0" fontId="1" fillId="0" borderId="19" xfId="0" applyFont="1" applyBorder="1" applyAlignment="1" applyProtection="1">
      <alignment horizontal="left" vertical="center"/>
      <protection locked="0"/>
    </xf>
    <xf numFmtId="0" fontId="1" fillId="0" borderId="20" xfId="0" applyFont="1" applyBorder="1" applyAlignment="1" applyProtection="1">
      <alignment horizontal="left" vertical="center"/>
      <protection locked="0"/>
    </xf>
    <xf numFmtId="0" fontId="6" fillId="0" borderId="11" xfId="0" applyFont="1" applyBorder="1" applyAlignment="1">
      <alignment horizontal="left" vertical="top"/>
    </xf>
    <xf numFmtId="0" fontId="6" fillId="0" borderId="14" xfId="0" applyFont="1" applyBorder="1" applyAlignment="1">
      <alignment horizontal="left" vertical="top"/>
    </xf>
    <xf numFmtId="0" fontId="6" fillId="0" borderId="16" xfId="0" applyFont="1" applyBorder="1" applyAlignment="1">
      <alignment horizontal="left" vertical="top"/>
    </xf>
    <xf numFmtId="49" fontId="2" fillId="0" borderId="10" xfId="0" applyNumberFormat="1" applyFont="1" applyBorder="1" applyAlignment="1" applyProtection="1">
      <alignment vertical="center"/>
      <protection locked="0"/>
    </xf>
    <xf numFmtId="0" fontId="1" fillId="0" borderId="19" xfId="0" applyFont="1" applyBorder="1" applyAlignment="1" applyProtection="1">
      <alignment vertical="center"/>
      <protection locked="0"/>
    </xf>
    <xf numFmtId="0" fontId="1" fillId="0" borderId="20" xfId="0" applyFont="1" applyBorder="1" applyAlignment="1" applyProtection="1">
      <alignment vertical="center"/>
      <protection locked="0"/>
    </xf>
    <xf numFmtId="0" fontId="6" fillId="0" borderId="11" xfId="0" applyFont="1" applyBorder="1" applyAlignment="1">
      <alignment vertical="top"/>
    </xf>
    <xf numFmtId="0" fontId="1" fillId="0" borderId="14" xfId="0" applyFont="1" applyBorder="1" applyAlignment="1">
      <alignment vertical="top"/>
    </xf>
    <xf numFmtId="0" fontId="1" fillId="0" borderId="16" xfId="0" applyFont="1" applyBorder="1" applyAlignment="1">
      <alignment vertical="top"/>
    </xf>
    <xf numFmtId="0" fontId="3" fillId="0" borderId="19" xfId="0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49" fontId="1" fillId="0" borderId="17" xfId="0" applyNumberFormat="1" applyFont="1" applyBorder="1" applyAlignment="1" applyProtection="1">
      <alignment horizontal="left" vertical="top"/>
      <protection locked="0"/>
    </xf>
    <xf numFmtId="49" fontId="1" fillId="0" borderId="0" xfId="0" applyNumberFormat="1" applyFont="1" applyAlignment="1" applyProtection="1">
      <alignment horizontal="left" vertical="top"/>
      <protection locked="0"/>
    </xf>
    <xf numFmtId="49" fontId="1" fillId="0" borderId="18" xfId="0" applyNumberFormat="1" applyFont="1" applyBorder="1" applyAlignment="1" applyProtection="1">
      <alignment horizontal="left" vertical="top"/>
      <protection locked="0"/>
    </xf>
    <xf numFmtId="49" fontId="3" fillId="0" borderId="43" xfId="0" applyNumberFormat="1" applyFont="1" applyBorder="1" applyAlignment="1" applyProtection="1">
      <alignment horizontal="left"/>
      <protection locked="0"/>
    </xf>
    <xf numFmtId="49" fontId="3" fillId="0" borderId="24" xfId="0" applyNumberFormat="1" applyFont="1" applyBorder="1" applyAlignment="1" applyProtection="1">
      <alignment horizontal="left"/>
      <protection locked="0"/>
    </xf>
    <xf numFmtId="14" fontId="1" fillId="0" borderId="25" xfId="0" applyNumberFormat="1" applyFont="1" applyBorder="1" applyAlignment="1" applyProtection="1">
      <alignment horizontal="left" vertical="center"/>
      <protection locked="0"/>
    </xf>
    <xf numFmtId="0" fontId="1" fillId="0" borderId="43" xfId="0" applyFont="1" applyBorder="1" applyAlignment="1" applyProtection="1">
      <alignment horizontal="left" vertical="center"/>
      <protection locked="0"/>
    </xf>
    <xf numFmtId="0" fontId="1" fillId="0" borderId="24" xfId="0" applyFont="1" applyBorder="1" applyAlignment="1" applyProtection="1">
      <alignment horizontal="left" vertical="center"/>
      <protection locked="0"/>
    </xf>
    <xf numFmtId="0" fontId="3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49" fontId="1" fillId="0" borderId="10" xfId="0" applyNumberFormat="1" applyFont="1" applyBorder="1" applyAlignment="1" applyProtection="1">
      <alignment horizontal="left"/>
      <protection locked="0"/>
    </xf>
    <xf numFmtId="49" fontId="1" fillId="0" borderId="19" xfId="0" applyNumberFormat="1" applyFont="1" applyBorder="1" applyAlignment="1" applyProtection="1">
      <alignment horizontal="left"/>
      <protection locked="0"/>
    </xf>
    <xf numFmtId="49" fontId="1" fillId="0" borderId="20" xfId="0" applyNumberFormat="1" applyFont="1" applyBorder="1" applyAlignment="1" applyProtection="1">
      <alignment horizontal="left"/>
      <protection locked="0"/>
    </xf>
    <xf numFmtId="49" fontId="63" fillId="0" borderId="10" xfId="37" applyNumberFormat="1" applyFill="1" applyBorder="1" applyAlignment="1" applyProtection="1">
      <alignment horizontal="left" vertical="center"/>
      <protection locked="0"/>
    </xf>
    <xf numFmtId="0" fontId="1" fillId="0" borderId="16" xfId="0" applyFont="1" applyBorder="1" applyAlignment="1">
      <alignment horizontal="left" vertical="top"/>
    </xf>
    <xf numFmtId="49" fontId="1" fillId="0" borderId="17" xfId="0" applyNumberFormat="1" applyFont="1" applyBorder="1" applyAlignment="1" applyProtection="1">
      <alignment horizontal="left" vertical="center"/>
      <protection locked="0"/>
    </xf>
    <xf numFmtId="49" fontId="1" fillId="0" borderId="0" xfId="0" applyNumberFormat="1" applyFont="1" applyAlignment="1" applyProtection="1">
      <alignment horizontal="left" vertical="center"/>
      <protection locked="0"/>
    </xf>
    <xf numFmtId="14" fontId="1" fillId="0" borderId="10" xfId="0" applyNumberFormat="1" applyFont="1" applyBorder="1" applyAlignment="1" applyProtection="1">
      <alignment horizontal="left" vertical="center"/>
      <protection locked="0"/>
    </xf>
    <xf numFmtId="0" fontId="6" fillId="0" borderId="13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44" fillId="0" borderId="0" xfId="0" applyFont="1"/>
    <xf numFmtId="0" fontId="45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45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49" fontId="7" fillId="0" borderId="10" xfId="0" applyNumberFormat="1" applyFont="1" applyBorder="1" applyAlignment="1" applyProtection="1">
      <alignment horizontal="left"/>
      <protection locked="0"/>
    </xf>
    <xf numFmtId="0" fontId="7" fillId="0" borderId="19" xfId="0" applyFont="1" applyBorder="1" applyAlignment="1" applyProtection="1">
      <alignment horizontal="left"/>
      <protection locked="0"/>
    </xf>
    <xf numFmtId="0" fontId="7" fillId="0" borderId="20" xfId="0" applyFont="1" applyBorder="1" applyAlignment="1" applyProtection="1">
      <alignment horizontal="left"/>
      <protection locked="0"/>
    </xf>
    <xf numFmtId="0" fontId="46" fillId="0" borderId="0" xfId="0" applyFont="1"/>
    <xf numFmtId="0" fontId="47" fillId="0" borderId="11" xfId="0" applyFont="1" applyBorder="1"/>
    <xf numFmtId="0" fontId="0" fillId="0" borderId="14" xfId="0" applyBorder="1"/>
    <xf numFmtId="0" fontId="47" fillId="0" borderId="14" xfId="0" applyFont="1" applyBorder="1"/>
    <xf numFmtId="0" fontId="59" fillId="0" borderId="14" xfId="0" applyFont="1" applyBorder="1"/>
    <xf numFmtId="0" fontId="59" fillId="0" borderId="16" xfId="0" applyFont="1" applyBorder="1"/>
    <xf numFmtId="165" fontId="1" fillId="24" borderId="10" xfId="0" applyNumberFormat="1" applyFont="1" applyFill="1" applyBorder="1" applyAlignment="1">
      <alignment horizontal="left"/>
    </xf>
    <xf numFmtId="0" fontId="1" fillId="24" borderId="19" xfId="0" applyFont="1" applyFill="1" applyBorder="1" applyAlignment="1">
      <alignment horizontal="left"/>
    </xf>
    <xf numFmtId="165" fontId="7" fillId="24" borderId="19" xfId="0" applyNumberFormat="1" applyFont="1" applyFill="1" applyBorder="1" applyAlignment="1">
      <alignment horizontal="left"/>
    </xf>
    <xf numFmtId="0" fontId="0" fillId="24" borderId="19" xfId="0" applyFill="1" applyBorder="1" applyAlignment="1">
      <alignment horizontal="left"/>
    </xf>
    <xf numFmtId="0" fontId="0" fillId="24" borderId="20" xfId="0" applyFill="1" applyBorder="1" applyAlignment="1">
      <alignment horizontal="left"/>
    </xf>
    <xf numFmtId="0" fontId="0" fillId="0" borderId="16" xfId="0" applyBorder="1"/>
    <xf numFmtId="0" fontId="72" fillId="0" borderId="11" xfId="0" applyFont="1" applyBorder="1"/>
    <xf numFmtId="0" fontId="71" fillId="0" borderId="14" xfId="0" applyFont="1" applyBorder="1"/>
    <xf numFmtId="0" fontId="71" fillId="0" borderId="16" xfId="0" applyFont="1" applyBorder="1"/>
    <xf numFmtId="0" fontId="44" fillId="0" borderId="14" xfId="0" applyFont="1" applyBorder="1"/>
    <xf numFmtId="0" fontId="46" fillId="0" borderId="11" xfId="0" applyFont="1" applyBorder="1" applyAlignment="1">
      <alignment horizontal="left" vertical="top" wrapText="1"/>
    </xf>
    <xf numFmtId="0" fontId="0" fillId="0" borderId="14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47" fillId="0" borderId="16" xfId="0" applyFont="1" applyBorder="1"/>
    <xf numFmtId="165" fontId="7" fillId="24" borderId="10" xfId="0" applyNumberFormat="1" applyFont="1" applyFill="1" applyBorder="1" applyAlignment="1">
      <alignment horizontal="left"/>
    </xf>
    <xf numFmtId="166" fontId="7" fillId="24" borderId="10" xfId="0" applyNumberFormat="1" applyFont="1" applyFill="1" applyBorder="1" applyAlignment="1" applyProtection="1">
      <alignment horizontal="left"/>
      <protection locked="0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3" fillId="25" borderId="0" xfId="0" applyFont="1" applyFill="1" applyAlignment="1">
      <alignment horizontal="left" vertical="top"/>
    </xf>
    <xf numFmtId="0" fontId="3" fillId="25" borderId="0" xfId="0" applyFont="1" applyFill="1"/>
    <xf numFmtId="0" fontId="13" fillId="25" borderId="0" xfId="0" applyFont="1" applyFill="1" applyAlignment="1" applyProtection="1">
      <alignment horizontal="center"/>
      <protection locked="0"/>
    </xf>
    <xf numFmtId="0" fontId="5" fillId="25" borderId="47" xfId="0" applyFont="1" applyFill="1" applyBorder="1" applyAlignment="1" applyProtection="1">
      <alignment horizontal="center"/>
      <protection locked="0"/>
    </xf>
    <xf numFmtId="0" fontId="5" fillId="25" borderId="48" xfId="0" applyFont="1" applyFill="1" applyBorder="1" applyAlignment="1" applyProtection="1">
      <alignment horizontal="center"/>
      <protection locked="0"/>
    </xf>
    <xf numFmtId="0" fontId="5" fillId="25" borderId="49" xfId="0" applyFont="1" applyFill="1" applyBorder="1" applyAlignment="1" applyProtection="1">
      <alignment horizontal="center"/>
      <protection locked="0"/>
    </xf>
    <xf numFmtId="0" fontId="0" fillId="25" borderId="50" xfId="0" applyFill="1" applyBorder="1" applyAlignment="1" applyProtection="1">
      <alignment horizontal="center"/>
      <protection locked="0"/>
    </xf>
    <xf numFmtId="0" fontId="0" fillId="25" borderId="51" xfId="0" applyFill="1" applyBorder="1" applyAlignment="1" applyProtection="1">
      <alignment horizontal="center"/>
      <protection locked="0"/>
    </xf>
    <xf numFmtId="0" fontId="0" fillId="25" borderId="52" xfId="0" applyFill="1" applyBorder="1" applyAlignment="1" applyProtection="1">
      <alignment horizontal="center"/>
      <protection locked="0"/>
    </xf>
    <xf numFmtId="49" fontId="7" fillId="25" borderId="25" xfId="0" applyNumberFormat="1" applyFont="1" applyFill="1" applyBorder="1" applyAlignment="1" applyProtection="1">
      <alignment horizontal="left" vertical="center"/>
      <protection locked="0"/>
    </xf>
    <xf numFmtId="49" fontId="7" fillId="25" borderId="24" xfId="0" applyNumberFormat="1" applyFont="1" applyFill="1" applyBorder="1" applyAlignment="1" applyProtection="1">
      <alignment horizontal="left" vertical="center"/>
      <protection locked="0"/>
    </xf>
    <xf numFmtId="49" fontId="7" fillId="25" borderId="13" xfId="0" applyNumberFormat="1" applyFont="1" applyFill="1" applyBorder="1" applyAlignment="1" applyProtection="1">
      <alignment horizontal="left" vertical="center"/>
      <protection locked="0"/>
    </xf>
    <xf numFmtId="1" fontId="7" fillId="25" borderId="13" xfId="0" applyNumberFormat="1" applyFont="1" applyFill="1" applyBorder="1" applyAlignment="1">
      <alignment horizontal="center" vertical="center"/>
    </xf>
    <xf numFmtId="49" fontId="1" fillId="25" borderId="25" xfId="0" applyNumberFormat="1" applyFont="1" applyFill="1" applyBorder="1" applyAlignment="1">
      <alignment horizontal="left" wrapText="1"/>
    </xf>
    <xf numFmtId="49" fontId="1" fillId="25" borderId="43" xfId="0" applyNumberFormat="1" applyFont="1" applyFill="1" applyBorder="1" applyAlignment="1">
      <alignment horizontal="left" wrapText="1"/>
    </xf>
    <xf numFmtId="0" fontId="1" fillId="0" borderId="43" xfId="0" applyFont="1" applyBorder="1" applyAlignment="1">
      <alignment horizontal="left" wrapText="1"/>
    </xf>
    <xf numFmtId="0" fontId="1" fillId="0" borderId="24" xfId="0" applyFont="1" applyBorder="1" applyAlignment="1">
      <alignment horizontal="left" wrapText="1"/>
    </xf>
    <xf numFmtId="49" fontId="18" fillId="25" borderId="25" xfId="0" applyNumberFormat="1" applyFont="1" applyFill="1" applyBorder="1" applyAlignment="1" applyProtection="1">
      <alignment horizontal="left" wrapText="1"/>
      <protection locked="0"/>
    </xf>
    <xf numFmtId="49" fontId="18" fillId="25" borderId="43" xfId="0" applyNumberFormat="1" applyFont="1" applyFill="1" applyBorder="1" applyAlignment="1" applyProtection="1">
      <alignment horizontal="left" wrapText="1"/>
      <protection locked="0"/>
    </xf>
    <xf numFmtId="0" fontId="6" fillId="25" borderId="0" xfId="0" applyFont="1" applyFill="1" applyAlignment="1">
      <alignment horizontal="left" vertical="center"/>
    </xf>
    <xf numFmtId="49" fontId="7" fillId="25" borderId="13" xfId="0" applyNumberFormat="1" applyFont="1" applyFill="1" applyBorder="1" applyAlignment="1" applyProtection="1">
      <alignment horizontal="center" vertical="center"/>
      <protection locked="0"/>
    </xf>
    <xf numFmtId="49" fontId="7" fillId="25" borderId="25" xfId="0" applyNumberFormat="1" applyFont="1" applyFill="1" applyBorder="1" applyAlignment="1" applyProtection="1">
      <alignment horizontal="center" vertical="center"/>
      <protection locked="0"/>
    </xf>
    <xf numFmtId="49" fontId="7" fillId="25" borderId="24" xfId="0" applyNumberFormat="1" applyFont="1" applyFill="1" applyBorder="1" applyAlignment="1" applyProtection="1">
      <alignment horizontal="center" vertical="center"/>
      <protection locked="0"/>
    </xf>
    <xf numFmtId="0" fontId="7" fillId="25" borderId="0" xfId="0" applyFont="1" applyFill="1" applyAlignment="1">
      <alignment horizontal="left"/>
    </xf>
    <xf numFmtId="0" fontId="5" fillId="25" borderId="0" xfId="0" applyFont="1" applyFill="1" applyAlignment="1">
      <alignment horizontal="center" vertical="center"/>
    </xf>
    <xf numFmtId="0" fontId="3" fillId="25" borderId="0" xfId="0" applyFont="1" applyFill="1" applyAlignment="1">
      <alignment horizontal="left"/>
    </xf>
    <xf numFmtId="49" fontId="3" fillId="25" borderId="0" xfId="0" applyNumberFormat="1" applyFont="1" applyFill="1" applyAlignment="1">
      <alignment horizontal="left" vertical="center"/>
    </xf>
    <xf numFmtId="0" fontId="3" fillId="25" borderId="0" xfId="0" applyFont="1" applyFill="1" applyAlignment="1">
      <alignment vertical="top"/>
    </xf>
    <xf numFmtId="165" fontId="7" fillId="25" borderId="19" xfId="0" applyNumberFormat="1" applyFont="1" applyFill="1" applyBorder="1" applyAlignment="1">
      <alignment horizontal="left" vertical="center"/>
    </xf>
    <xf numFmtId="0" fontId="6" fillId="25" borderId="11" xfId="0" applyFont="1" applyFill="1" applyBorder="1" applyAlignment="1" applyProtection="1">
      <alignment horizontal="left"/>
      <protection locked="0"/>
    </xf>
    <xf numFmtId="0" fontId="6" fillId="25" borderId="14" xfId="0" applyFont="1" applyFill="1" applyBorder="1" applyAlignment="1" applyProtection="1">
      <alignment horizontal="left"/>
      <protection locked="0"/>
    </xf>
    <xf numFmtId="0" fontId="6" fillId="25" borderId="16" xfId="0" applyFont="1" applyFill="1" applyBorder="1" applyAlignment="1" applyProtection="1">
      <alignment horizontal="left"/>
      <protection locked="0"/>
    </xf>
    <xf numFmtId="0" fontId="7" fillId="25" borderId="10" xfId="0" applyFont="1" applyFill="1" applyBorder="1" applyAlignment="1" applyProtection="1">
      <alignment horizontal="center" vertical="center"/>
      <protection locked="0"/>
    </xf>
    <xf numFmtId="0" fontId="7" fillId="25" borderId="19" xfId="0" applyFont="1" applyFill="1" applyBorder="1" applyAlignment="1" applyProtection="1">
      <alignment horizontal="center" vertical="center"/>
      <protection locked="0"/>
    </xf>
    <xf numFmtId="0" fontId="7" fillId="25" borderId="20" xfId="0" applyFont="1" applyFill="1" applyBorder="1" applyAlignment="1" applyProtection="1">
      <alignment horizontal="center" vertical="center"/>
      <protection locked="0"/>
    </xf>
    <xf numFmtId="49" fontId="6" fillId="25" borderId="11" xfId="0" applyNumberFormat="1" applyFont="1" applyFill="1" applyBorder="1" applyAlignment="1">
      <alignment horizontal="left" vertical="center"/>
    </xf>
    <xf numFmtId="0" fontId="0" fillId="25" borderId="14" xfId="0" applyFill="1" applyBorder="1" applyAlignment="1">
      <alignment vertical="center"/>
    </xf>
    <xf numFmtId="0" fontId="0" fillId="25" borderId="16" xfId="0" applyFill="1" applyBorder="1" applyAlignment="1">
      <alignment vertical="center"/>
    </xf>
    <xf numFmtId="0" fontId="6" fillId="25" borderId="10" xfId="0" applyFont="1" applyFill="1" applyBorder="1" applyAlignment="1">
      <alignment horizontal="center" vertical="top"/>
    </xf>
    <xf numFmtId="0" fontId="6" fillId="25" borderId="20" xfId="0" applyFont="1" applyFill="1" applyBorder="1" applyAlignment="1">
      <alignment horizontal="center" vertical="top"/>
    </xf>
    <xf numFmtId="0" fontId="54" fillId="25" borderId="11" xfId="0" applyFont="1" applyFill="1" applyBorder="1" applyAlignment="1">
      <alignment horizontal="left"/>
    </xf>
    <xf numFmtId="0" fontId="54" fillId="25" borderId="14" xfId="0" applyFont="1" applyFill="1" applyBorder="1" applyAlignment="1">
      <alignment horizontal="left"/>
    </xf>
    <xf numFmtId="0" fontId="2" fillId="25" borderId="27" xfId="0" applyFont="1" applyFill="1" applyBorder="1" applyAlignment="1">
      <alignment horizontal="center" vertical="center"/>
    </xf>
    <xf numFmtId="0" fontId="2" fillId="25" borderId="12" xfId="0" applyFont="1" applyFill="1" applyBorder="1" applyAlignment="1">
      <alignment horizontal="center" vertical="center"/>
    </xf>
    <xf numFmtId="0" fontId="0" fillId="25" borderId="14" xfId="0" applyFill="1" applyBorder="1" applyProtection="1">
      <protection locked="0"/>
    </xf>
    <xf numFmtId="0" fontId="0" fillId="25" borderId="16" xfId="0" applyFill="1" applyBorder="1" applyProtection="1">
      <protection locked="0"/>
    </xf>
    <xf numFmtId="0" fontId="6" fillId="25" borderId="11" xfId="0" applyFont="1" applyFill="1" applyBorder="1" applyAlignment="1">
      <alignment horizontal="center" vertical="center"/>
    </xf>
    <xf numFmtId="0" fontId="6" fillId="25" borderId="16" xfId="0" applyFont="1" applyFill="1" applyBorder="1" applyAlignment="1">
      <alignment horizontal="center" vertical="center"/>
    </xf>
    <xf numFmtId="49" fontId="7" fillId="25" borderId="10" xfId="0" applyNumberFormat="1" applyFont="1" applyFill="1" applyBorder="1" applyAlignment="1" applyProtection="1">
      <alignment horizontal="left" vertical="center"/>
      <protection locked="0"/>
    </xf>
    <xf numFmtId="49" fontId="7" fillId="25" borderId="19" xfId="0" applyNumberFormat="1" applyFont="1" applyFill="1" applyBorder="1" applyAlignment="1" applyProtection="1">
      <alignment horizontal="left" vertical="center"/>
      <protection locked="0"/>
    </xf>
    <xf numFmtId="49" fontId="7" fillId="25" borderId="20" xfId="0" applyNumberFormat="1" applyFont="1" applyFill="1" applyBorder="1" applyAlignment="1" applyProtection="1">
      <alignment horizontal="left" vertical="center"/>
      <protection locked="0"/>
    </xf>
    <xf numFmtId="0" fontId="6" fillId="25" borderId="10" xfId="0" applyFont="1" applyFill="1" applyBorder="1" applyAlignment="1">
      <alignment horizontal="center" vertical="center"/>
    </xf>
    <xf numFmtId="0" fontId="6" fillId="25" borderId="20" xfId="0" applyFont="1" applyFill="1" applyBorder="1" applyAlignment="1">
      <alignment horizontal="center" vertical="center"/>
    </xf>
    <xf numFmtId="0" fontId="54" fillId="25" borderId="11" xfId="0" applyFont="1" applyFill="1" applyBorder="1" applyAlignment="1">
      <alignment horizontal="center"/>
    </xf>
    <xf numFmtId="0" fontId="54" fillId="25" borderId="16" xfId="0" applyFont="1" applyFill="1" applyBorder="1" applyAlignment="1">
      <alignment horizontal="center"/>
    </xf>
    <xf numFmtId="0" fontId="6" fillId="25" borderId="11" xfId="0" applyFont="1" applyFill="1" applyBorder="1" applyAlignment="1">
      <alignment horizontal="left" vertical="center"/>
    </xf>
    <xf numFmtId="49" fontId="6" fillId="25" borderId="17" xfId="0" applyNumberFormat="1" applyFont="1" applyFill="1" applyBorder="1" applyAlignment="1" applyProtection="1">
      <alignment horizontal="left" vertical="center"/>
      <protection locked="0"/>
    </xf>
    <xf numFmtId="0" fontId="0" fillId="25" borderId="0" xfId="0" applyFill="1" applyAlignment="1" applyProtection="1">
      <alignment vertical="center"/>
      <protection locked="0"/>
    </xf>
    <xf numFmtId="0" fontId="0" fillId="25" borderId="18" xfId="0" applyFill="1" applyBorder="1" applyAlignment="1" applyProtection="1">
      <alignment vertical="center"/>
      <protection locked="0"/>
    </xf>
    <xf numFmtId="49" fontId="3" fillId="25" borderId="43" xfId="0" applyNumberFormat="1" applyFont="1" applyFill="1" applyBorder="1" applyAlignment="1">
      <alignment horizontal="left" vertical="center"/>
    </xf>
    <xf numFmtId="0" fontId="17" fillId="25" borderId="19" xfId="0" applyFont="1" applyFill="1" applyBorder="1" applyAlignment="1">
      <alignment horizontal="left" vertical="center"/>
    </xf>
    <xf numFmtId="0" fontId="16" fillId="25" borderId="19" xfId="0" applyFont="1" applyFill="1" applyBorder="1" applyAlignment="1">
      <alignment vertical="center"/>
    </xf>
    <xf numFmtId="0" fontId="16" fillId="25" borderId="20" xfId="0" applyFont="1" applyFill="1" applyBorder="1" applyAlignment="1">
      <alignment vertical="center"/>
    </xf>
    <xf numFmtId="0" fontId="6" fillId="25" borderId="11" xfId="0" applyFont="1" applyFill="1" applyBorder="1" applyAlignment="1">
      <alignment horizontal="left"/>
    </xf>
    <xf numFmtId="0" fontId="6" fillId="25" borderId="14" xfId="0" applyFont="1" applyFill="1" applyBorder="1" applyAlignment="1">
      <alignment horizontal="left"/>
    </xf>
    <xf numFmtId="0" fontId="6" fillId="25" borderId="16" xfId="0" applyFont="1" applyFill="1" applyBorder="1" applyAlignment="1">
      <alignment horizontal="left"/>
    </xf>
    <xf numFmtId="0" fontId="17" fillId="25" borderId="0" xfId="0" applyFont="1" applyFill="1" applyAlignment="1">
      <alignment horizontal="left"/>
    </xf>
    <xf numFmtId="0" fontId="16" fillId="25" borderId="0" xfId="0" applyFont="1" applyFill="1"/>
    <xf numFmtId="165" fontId="3" fillId="25" borderId="19" xfId="0" applyNumberFormat="1" applyFont="1" applyFill="1" applyBorder="1" applyAlignment="1">
      <alignment horizontal="left" vertical="center"/>
    </xf>
    <xf numFmtId="165" fontId="3" fillId="25" borderId="20" xfId="0" applyNumberFormat="1" applyFont="1" applyFill="1" applyBorder="1" applyAlignment="1">
      <alignment horizontal="left" vertical="center"/>
    </xf>
    <xf numFmtId="0" fontId="3" fillId="25" borderId="19" xfId="0" applyFont="1" applyFill="1" applyBorder="1" applyAlignment="1" applyProtection="1">
      <alignment horizontal="left" vertical="center"/>
      <protection locked="0"/>
    </xf>
    <xf numFmtId="0" fontId="6" fillId="25" borderId="17" xfId="0" applyFont="1" applyFill="1" applyBorder="1" applyAlignment="1">
      <alignment horizontal="left"/>
    </xf>
    <xf numFmtId="0" fontId="6" fillId="25" borderId="0" xfId="0" applyFont="1" applyFill="1" applyAlignment="1">
      <alignment horizontal="left"/>
    </xf>
    <xf numFmtId="0" fontId="6" fillId="25" borderId="18" xfId="0" applyFont="1" applyFill="1" applyBorder="1" applyAlignment="1">
      <alignment horizontal="left"/>
    </xf>
    <xf numFmtId="0" fontId="6" fillId="25" borderId="17" xfId="0" applyFont="1" applyFill="1" applyBorder="1" applyAlignment="1" applyProtection="1">
      <alignment horizontal="left" vertical="center"/>
      <protection locked="0"/>
    </xf>
    <xf numFmtId="0" fontId="0" fillId="25" borderId="0" xfId="0" applyFill="1" applyProtection="1">
      <protection locked="0"/>
    </xf>
    <xf numFmtId="0" fontId="0" fillId="25" borderId="18" xfId="0" applyFill="1" applyBorder="1" applyProtection="1">
      <protection locked="0"/>
    </xf>
    <xf numFmtId="0" fontId="7" fillId="25" borderId="19" xfId="0" applyFont="1" applyFill="1" applyBorder="1" applyAlignment="1" applyProtection="1">
      <alignment horizontal="left" vertical="center"/>
      <protection locked="0"/>
    </xf>
    <xf numFmtId="0" fontId="7" fillId="25" borderId="20" xfId="0" applyFont="1" applyFill="1" applyBorder="1" applyAlignment="1" applyProtection="1">
      <alignment horizontal="left" vertical="center"/>
      <protection locked="0"/>
    </xf>
    <xf numFmtId="0" fontId="0" fillId="25" borderId="19" xfId="0" applyFill="1" applyBorder="1" applyAlignment="1" applyProtection="1">
      <alignment vertical="center"/>
      <protection locked="0"/>
    </xf>
    <xf numFmtId="0" fontId="0" fillId="25" borderId="20" xfId="0" applyFill="1" applyBorder="1" applyAlignment="1" applyProtection="1">
      <alignment vertical="center"/>
      <protection locked="0"/>
    </xf>
    <xf numFmtId="0" fontId="0" fillId="25" borderId="19" xfId="0" applyFill="1" applyBorder="1" applyProtection="1">
      <protection locked="0"/>
    </xf>
    <xf numFmtId="165" fontId="0" fillId="24" borderId="10" xfId="0" applyNumberFormat="1" applyFill="1" applyBorder="1" applyAlignment="1" applyProtection="1">
      <alignment horizontal="left"/>
      <protection locked="0"/>
    </xf>
    <xf numFmtId="165" fontId="0" fillId="24" borderId="19" xfId="0" applyNumberFormat="1" applyFill="1" applyBorder="1" applyAlignment="1" applyProtection="1">
      <alignment horizontal="left"/>
      <protection locked="0"/>
    </xf>
    <xf numFmtId="165" fontId="0" fillId="24" borderId="20" xfId="0" applyNumberFormat="1" applyFill="1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20" xfId="0" applyBorder="1" applyAlignment="1" applyProtection="1">
      <alignment horizontal="left"/>
      <protection locked="0"/>
    </xf>
    <xf numFmtId="49" fontId="0" fillId="0" borderId="36" xfId="0" applyNumberFormat="1" applyBorder="1" applyAlignment="1" applyProtection="1">
      <alignment horizont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0" borderId="55" xfId="0" applyBorder="1" applyAlignment="1" applyProtection="1">
      <alignment horizontal="center"/>
      <protection locked="0"/>
    </xf>
    <xf numFmtId="0" fontId="3" fillId="0" borderId="25" xfId="0" applyFon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0" fillId="0" borderId="23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0" borderId="35" xfId="0" applyBorder="1" applyAlignment="1" applyProtection="1">
      <alignment horizontal="center"/>
      <protection locked="0"/>
    </xf>
    <xf numFmtId="0" fontId="11" fillId="0" borderId="16" xfId="0" applyFont="1" applyBorder="1" applyAlignment="1" applyProtection="1">
      <alignment horizontal="center"/>
      <protection locked="0"/>
    </xf>
    <xf numFmtId="0" fontId="0" fillId="0" borderId="20" xfId="0" applyBorder="1" applyProtection="1">
      <protection locked="0"/>
    </xf>
    <xf numFmtId="0" fontId="0" fillId="0" borderId="43" xfId="0" applyBorder="1" applyAlignment="1">
      <alignment horizontal="center"/>
    </xf>
    <xf numFmtId="165" fontId="7" fillId="24" borderId="10" xfId="0" applyNumberFormat="1" applyFont="1" applyFill="1" applyBorder="1" applyAlignment="1" applyProtection="1">
      <alignment horizontal="left" vertical="center"/>
      <protection locked="0"/>
    </xf>
    <xf numFmtId="165" fontId="7" fillId="24" borderId="19" xfId="0" applyNumberFormat="1" applyFont="1" applyFill="1" applyBorder="1" applyAlignment="1" applyProtection="1">
      <alignment horizontal="left" vertical="center"/>
      <protection locked="0"/>
    </xf>
    <xf numFmtId="165" fontId="7" fillId="24" borderId="20" xfId="0" applyNumberFormat="1" applyFont="1" applyFill="1" applyBorder="1" applyAlignment="1" applyProtection="1">
      <alignment horizontal="left" vertical="center"/>
      <protection locked="0"/>
    </xf>
    <xf numFmtId="0" fontId="6" fillId="0" borderId="11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0" fillId="0" borderId="23" xfId="0" applyBorder="1" applyAlignment="1" applyProtection="1">
      <alignment horizontal="left"/>
      <protection locked="0"/>
    </xf>
    <xf numFmtId="0" fontId="0" fillId="0" borderId="30" xfId="0" applyBorder="1" applyAlignment="1" applyProtection="1">
      <alignment horizontal="left"/>
      <protection locked="0"/>
    </xf>
    <xf numFmtId="0" fontId="0" fillId="0" borderId="39" xfId="0" applyBorder="1" applyAlignment="1" applyProtection="1">
      <alignment horizontal="left"/>
      <protection locked="0"/>
    </xf>
    <xf numFmtId="0" fontId="0" fillId="0" borderId="40" xfId="0" applyBorder="1" applyAlignment="1" applyProtection="1">
      <alignment horizontal="left"/>
      <protection locked="0"/>
    </xf>
    <xf numFmtId="0" fontId="0" fillId="0" borderId="36" xfId="0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53" xfId="0" applyBorder="1" applyAlignment="1" applyProtection="1">
      <alignment horizontal="center"/>
      <protection locked="0"/>
    </xf>
    <xf numFmtId="49" fontId="0" fillId="0" borderId="55" xfId="0" applyNumberFormat="1" applyBorder="1" applyAlignment="1" applyProtection="1">
      <alignment horizontal="center"/>
      <protection locked="0"/>
    </xf>
    <xf numFmtId="0" fontId="7" fillId="0" borderId="25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25" xfId="0" applyFont="1" applyBorder="1" applyAlignment="1" applyProtection="1">
      <alignment horizontal="center"/>
      <protection locked="0"/>
    </xf>
    <xf numFmtId="0" fontId="7" fillId="0" borderId="43" xfId="0" applyFont="1" applyBorder="1" applyAlignment="1" applyProtection="1">
      <alignment horizontal="center"/>
      <protection locked="0"/>
    </xf>
    <xf numFmtId="0" fontId="7" fillId="0" borderId="24" xfId="0" applyFont="1" applyBorder="1" applyAlignment="1" applyProtection="1">
      <alignment horizontal="center"/>
      <protection locked="0"/>
    </xf>
    <xf numFmtId="0" fontId="7" fillId="0" borderId="24" xfId="0" applyFont="1" applyBorder="1" applyAlignment="1">
      <alignment horizontal="center"/>
    </xf>
    <xf numFmtId="166" fontId="0" fillId="0" borderId="10" xfId="0" applyNumberFormat="1" applyBorder="1" applyAlignment="1" applyProtection="1">
      <alignment horizontal="left"/>
      <protection locked="0"/>
    </xf>
    <xf numFmtId="166" fontId="0" fillId="0" borderId="19" xfId="0" applyNumberFormat="1" applyBorder="1" applyAlignment="1" applyProtection="1">
      <alignment horizontal="left"/>
      <protection locked="0"/>
    </xf>
    <xf numFmtId="166" fontId="0" fillId="0" borderId="20" xfId="0" applyNumberFormat="1" applyBorder="1" applyAlignment="1" applyProtection="1">
      <alignment horizontal="left"/>
      <protection locked="0"/>
    </xf>
    <xf numFmtId="49" fontId="0" fillId="0" borderId="10" xfId="0" applyNumberFormat="1" applyBorder="1" applyAlignment="1" applyProtection="1">
      <alignment horizontal="left"/>
      <protection locked="0"/>
    </xf>
    <xf numFmtId="14" fontId="0" fillId="0" borderId="20" xfId="0" applyNumberFormat="1" applyBorder="1" applyAlignment="1" applyProtection="1">
      <alignment horizontal="left"/>
      <protection locked="0"/>
    </xf>
    <xf numFmtId="0" fontId="0" fillId="0" borderId="21" xfId="0" applyBorder="1" applyAlignment="1" applyProtection="1">
      <alignment horizontal="left"/>
      <protection locked="0"/>
    </xf>
    <xf numFmtId="0" fontId="0" fillId="0" borderId="29" xfId="0" applyBorder="1" applyAlignment="1" applyProtection="1">
      <alignment horizontal="left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3" fillId="0" borderId="20" xfId="0" applyFont="1" applyBorder="1" applyAlignment="1" applyProtection="1">
      <alignment horizontal="left" vertical="center"/>
      <protection locked="0"/>
    </xf>
    <xf numFmtId="0" fontId="6" fillId="0" borderId="14" xfId="0" applyFont="1" applyBorder="1" applyAlignment="1">
      <alignment horizontal="left" vertical="center"/>
    </xf>
    <xf numFmtId="165" fontId="3" fillId="24" borderId="10" xfId="0" applyNumberFormat="1" applyFont="1" applyFill="1" applyBorder="1" applyAlignment="1" applyProtection="1">
      <alignment horizontal="left" vertical="center"/>
      <protection locked="0"/>
    </xf>
    <xf numFmtId="0" fontId="3" fillId="24" borderId="19" xfId="0" applyFont="1" applyFill="1" applyBorder="1" applyAlignment="1">
      <alignment horizontal="left" vertical="center"/>
    </xf>
    <xf numFmtId="0" fontId="0" fillId="24" borderId="19" xfId="0" applyFill="1" applyBorder="1" applyAlignment="1">
      <alignment horizontal="left" vertical="center"/>
    </xf>
    <xf numFmtId="0" fontId="0" fillId="24" borderId="20" xfId="0" applyFill="1" applyBorder="1" applyAlignment="1">
      <alignment horizontal="left" vertical="center"/>
    </xf>
    <xf numFmtId="0" fontId="0" fillId="0" borderId="39" xfId="0" applyBorder="1" applyAlignment="1" applyProtection="1">
      <alignment horizontal="center"/>
      <protection locked="0"/>
    </xf>
    <xf numFmtId="0" fontId="0" fillId="0" borderId="54" xfId="0" applyBorder="1" applyAlignment="1" applyProtection="1">
      <alignment horizontal="center"/>
      <protection locked="0"/>
    </xf>
    <xf numFmtId="0" fontId="49" fillId="0" borderId="43" xfId="0" applyFont="1" applyBorder="1" applyAlignment="1">
      <alignment horizontal="center"/>
    </xf>
    <xf numFmtId="0" fontId="3" fillId="0" borderId="25" xfId="0" applyFont="1" applyBorder="1"/>
    <xf numFmtId="0" fontId="1" fillId="0" borderId="43" xfId="0" applyFont="1" applyBorder="1"/>
    <xf numFmtId="0" fontId="1" fillId="0" borderId="24" xfId="0" applyFont="1" applyBorder="1"/>
    <xf numFmtId="0" fontId="3" fillId="0" borderId="31" xfId="0" applyFont="1" applyBorder="1" applyAlignment="1" applyProtection="1">
      <alignment horizontal="center"/>
      <protection locked="0"/>
    </xf>
    <xf numFmtId="0" fontId="3" fillId="0" borderId="33" xfId="0" applyFont="1" applyBorder="1" applyAlignment="1" applyProtection="1">
      <alignment horizontal="center"/>
      <protection locked="0"/>
    </xf>
    <xf numFmtId="0" fontId="3" fillId="0" borderId="32" xfId="0" applyFont="1" applyBorder="1" applyAlignment="1" applyProtection="1">
      <alignment horizontal="center"/>
      <protection locked="0"/>
    </xf>
    <xf numFmtId="0" fontId="3" fillId="0" borderId="11" xfId="0" applyFont="1" applyBorder="1" applyAlignment="1">
      <alignment horizontal="left" vertical="top"/>
    </xf>
    <xf numFmtId="0" fontId="0" fillId="0" borderId="14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0" fontId="0" fillId="0" borderId="18" xfId="0" applyBorder="1" applyAlignment="1" applyProtection="1">
      <alignment vertical="top"/>
      <protection locked="0"/>
    </xf>
    <xf numFmtId="0" fontId="0" fillId="0" borderId="10" xfId="0" applyBorder="1" applyAlignment="1" applyProtection="1">
      <alignment vertical="top"/>
      <protection locked="0"/>
    </xf>
    <xf numFmtId="0" fontId="0" fillId="0" borderId="19" xfId="0" applyBorder="1" applyAlignment="1" applyProtection="1">
      <alignment vertical="top"/>
      <protection locked="0"/>
    </xf>
    <xf numFmtId="0" fontId="0" fillId="0" borderId="20" xfId="0" applyBorder="1" applyAlignment="1" applyProtection="1">
      <alignment vertical="top"/>
      <protection locked="0"/>
    </xf>
    <xf numFmtId="0" fontId="49" fillId="0" borderId="25" xfId="0" applyFont="1" applyBorder="1" applyAlignment="1">
      <alignment horizontal="center"/>
    </xf>
    <xf numFmtId="0" fontId="49" fillId="0" borderId="24" xfId="0" applyFont="1" applyBorder="1" applyAlignment="1">
      <alignment horizontal="center"/>
    </xf>
    <xf numFmtId="2" fontId="3" fillId="24" borderId="10" xfId="0" applyNumberFormat="1" applyFont="1" applyFill="1" applyBorder="1" applyAlignment="1">
      <alignment horizontal="center"/>
    </xf>
    <xf numFmtId="2" fontId="3" fillId="24" borderId="19" xfId="0" applyNumberFormat="1" applyFont="1" applyFill="1" applyBorder="1" applyAlignment="1">
      <alignment horizontal="center"/>
    </xf>
    <xf numFmtId="2" fontId="3" fillId="24" borderId="20" xfId="0" applyNumberFormat="1" applyFont="1" applyFill="1" applyBorder="1" applyAlignment="1">
      <alignment horizontal="center"/>
    </xf>
    <xf numFmtId="0" fontId="20" fillId="0" borderId="25" xfId="0" applyFont="1" applyBorder="1"/>
    <xf numFmtId="0" fontId="0" fillId="0" borderId="43" xfId="0" applyBorder="1"/>
    <xf numFmtId="0" fontId="0" fillId="0" borderId="24" xfId="0" applyBorder="1"/>
    <xf numFmtId="49" fontId="0" fillId="0" borderId="30" xfId="0" applyNumberFormat="1" applyBorder="1" applyAlignment="1" applyProtection="1">
      <alignment horizontal="center"/>
      <protection locked="0"/>
    </xf>
    <xf numFmtId="1" fontId="39" fillId="0" borderId="39" xfId="0" applyNumberFormat="1" applyFont="1" applyBorder="1" applyAlignment="1" applyProtection="1">
      <alignment horizontal="center"/>
      <protection locked="0"/>
    </xf>
    <xf numFmtId="1" fontId="39" fillId="0" borderId="54" xfId="0" applyNumberFormat="1" applyFont="1" applyBorder="1" applyAlignment="1" applyProtection="1">
      <alignment horizontal="center"/>
      <protection locked="0"/>
    </xf>
    <xf numFmtId="1" fontId="39" fillId="0" borderId="21" xfId="0" applyNumberFormat="1" applyFont="1" applyBorder="1" applyAlignment="1" applyProtection="1">
      <alignment horizontal="center"/>
      <protection locked="0"/>
    </xf>
    <xf numFmtId="1" fontId="39" fillId="0" borderId="53" xfId="0" applyNumberFormat="1" applyFont="1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left"/>
      <protection locked="0"/>
    </xf>
    <xf numFmtId="0" fontId="0" fillId="0" borderId="33" xfId="0" applyBorder="1" applyAlignment="1" applyProtection="1">
      <alignment horizontal="left"/>
      <protection locked="0"/>
    </xf>
    <xf numFmtId="0" fontId="3" fillId="0" borderId="19" xfId="0" applyFont="1" applyBorder="1" applyAlignment="1">
      <alignment horizontal="center"/>
    </xf>
    <xf numFmtId="0" fontId="0" fillId="0" borderId="31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32" xfId="0" applyBorder="1" applyAlignment="1" applyProtection="1">
      <alignment horizontal="center"/>
      <protection locked="0"/>
    </xf>
    <xf numFmtId="0" fontId="39" fillId="0" borderId="10" xfId="0" applyFont="1" applyBorder="1" applyAlignment="1">
      <alignment horizontal="left"/>
    </xf>
    <xf numFmtId="0" fontId="39" fillId="0" borderId="20" xfId="0" applyFont="1" applyBorder="1" applyAlignment="1">
      <alignment horizontal="left"/>
    </xf>
    <xf numFmtId="0" fontId="3" fillId="0" borderId="11" xfId="0" applyFont="1" applyBorder="1" applyAlignment="1">
      <alignment vertical="top"/>
    </xf>
    <xf numFmtId="0" fontId="40" fillId="0" borderId="10" xfId="0" applyFont="1" applyBorder="1" applyAlignment="1">
      <alignment horizontal="left"/>
    </xf>
    <xf numFmtId="0" fontId="40" fillId="0" borderId="20" xfId="0" applyFont="1" applyBorder="1" applyAlignment="1">
      <alignment horizontal="left"/>
    </xf>
    <xf numFmtId="0" fontId="39" fillId="0" borderId="21" xfId="0" applyFont="1" applyBorder="1" applyAlignment="1">
      <alignment horizontal="left"/>
    </xf>
    <xf numFmtId="0" fontId="39" fillId="0" borderId="53" xfId="0" applyFont="1" applyBorder="1" applyAlignment="1">
      <alignment horizontal="left"/>
    </xf>
    <xf numFmtId="0" fontId="39" fillId="0" borderId="21" xfId="0" applyFont="1" applyBorder="1" applyAlignment="1" applyProtection="1">
      <alignment horizontal="center"/>
      <protection locked="0"/>
    </xf>
    <xf numFmtId="0" fontId="39" fillId="0" borderId="53" xfId="0" applyFont="1" applyBorder="1" applyAlignment="1" applyProtection="1">
      <alignment horizontal="center"/>
      <protection locked="0"/>
    </xf>
    <xf numFmtId="49" fontId="0" fillId="0" borderId="35" xfId="0" applyNumberFormat="1" applyBorder="1" applyAlignment="1" applyProtection="1">
      <alignment horizontal="center"/>
      <protection locked="0"/>
    </xf>
    <xf numFmtId="0" fontId="0" fillId="0" borderId="25" xfId="0" applyBorder="1"/>
    <xf numFmtId="0" fontId="0" fillId="22" borderId="28" xfId="0" applyFill="1" applyBorder="1" applyAlignment="1" applyProtection="1">
      <alignment horizontal="center"/>
      <protection locked="0"/>
    </xf>
    <xf numFmtId="0" fontId="0" fillId="22" borderId="36" xfId="0" applyFill="1" applyBorder="1" applyAlignment="1" applyProtection="1">
      <alignment horizontal="center"/>
      <protection locked="0"/>
    </xf>
    <xf numFmtId="0" fontId="0" fillId="22" borderId="55" xfId="0" applyFill="1" applyBorder="1" applyAlignment="1" applyProtection="1">
      <alignment horizontal="center"/>
      <protection locked="0"/>
    </xf>
    <xf numFmtId="0" fontId="0" fillId="22" borderId="21" xfId="0" applyFill="1" applyBorder="1" applyAlignment="1" applyProtection="1">
      <alignment horizontal="center"/>
      <protection locked="0"/>
    </xf>
    <xf numFmtId="0" fontId="0" fillId="22" borderId="29" xfId="0" applyFill="1" applyBorder="1" applyAlignment="1" applyProtection="1">
      <alignment horizontal="center"/>
      <protection locked="0"/>
    </xf>
    <xf numFmtId="0" fontId="0" fillId="22" borderId="53" xfId="0" applyFill="1" applyBorder="1" applyAlignment="1" applyProtection="1">
      <alignment horizontal="center"/>
      <protection locked="0"/>
    </xf>
    <xf numFmtId="0" fontId="67" fillId="0" borderId="0" xfId="0" applyFont="1" applyAlignment="1">
      <alignment horizontal="left" vertical="center"/>
    </xf>
    <xf numFmtId="0" fontId="3" fillId="0" borderId="0" xfId="0" applyFont="1" applyAlignment="1">
      <alignment horizontal="left" vertical="top"/>
    </xf>
    <xf numFmtId="0" fontId="3" fillId="0" borderId="0" xfId="0" applyFont="1"/>
    <xf numFmtId="0" fontId="13" fillId="0" borderId="0" xfId="0" applyFont="1" applyAlignment="1" applyProtection="1">
      <alignment horizontal="center"/>
      <protection locked="0"/>
    </xf>
    <xf numFmtId="49" fontId="18" fillId="0" borderId="25" xfId="0" applyNumberFormat="1" applyFont="1" applyBorder="1" applyAlignment="1" applyProtection="1">
      <alignment horizontal="left"/>
      <protection locked="0"/>
    </xf>
    <xf numFmtId="49" fontId="18" fillId="0" borderId="43" xfId="0" applyNumberFormat="1" applyFont="1" applyBorder="1" applyAlignment="1" applyProtection="1">
      <alignment horizontal="left"/>
      <protection locked="0"/>
    </xf>
    <xf numFmtId="49" fontId="18" fillId="0" borderId="24" xfId="0" applyNumberFormat="1" applyFont="1" applyBorder="1" applyAlignment="1" applyProtection="1">
      <alignment horizontal="left"/>
      <protection locked="0"/>
    </xf>
    <xf numFmtId="1" fontId="7" fillId="0" borderId="13" xfId="0" applyNumberFormat="1" applyFont="1" applyBorder="1" applyAlignment="1">
      <alignment horizontal="center" vertical="center"/>
    </xf>
    <xf numFmtId="49" fontId="7" fillId="0" borderId="25" xfId="0" applyNumberFormat="1" applyFont="1" applyBorder="1" applyAlignment="1" applyProtection="1">
      <alignment horizontal="center" vertical="center"/>
      <protection locked="0"/>
    </xf>
    <xf numFmtId="49" fontId="7" fillId="0" borderId="24" xfId="0" applyNumberFormat="1" applyFont="1" applyBorder="1" applyAlignment="1" applyProtection="1">
      <alignment horizontal="center" vertical="center"/>
      <protection locked="0"/>
    </xf>
    <xf numFmtId="49" fontId="3" fillId="0" borderId="0" xfId="0" applyNumberFormat="1" applyFont="1" applyAlignment="1">
      <alignment horizontal="left" vertical="center"/>
    </xf>
    <xf numFmtId="0" fontId="68" fillId="0" borderId="0" xfId="0" applyFont="1" applyAlignment="1">
      <alignment horizontal="left"/>
    </xf>
    <xf numFmtId="49" fontId="3" fillId="0" borderId="25" xfId="0" applyNumberFormat="1" applyFont="1" applyBorder="1" applyAlignment="1">
      <alignment horizontal="left"/>
    </xf>
    <xf numFmtId="49" fontId="3" fillId="0" borderId="43" xfId="0" applyNumberFormat="1" applyFont="1" applyBorder="1" applyAlignment="1">
      <alignment horizontal="left"/>
    </xf>
    <xf numFmtId="49" fontId="7" fillId="0" borderId="25" xfId="0" applyNumberFormat="1" applyFont="1" applyBorder="1" applyAlignment="1" applyProtection="1">
      <alignment horizontal="left" vertical="center"/>
      <protection locked="0"/>
    </xf>
    <xf numFmtId="49" fontId="7" fillId="0" borderId="24" xfId="0" applyNumberFormat="1" applyFont="1" applyBorder="1" applyAlignment="1" applyProtection="1">
      <alignment horizontal="left" vertical="center"/>
      <protection locked="0"/>
    </xf>
    <xf numFmtId="0" fontId="5" fillId="0" borderId="47" xfId="0" applyFont="1" applyBorder="1" applyAlignment="1" applyProtection="1">
      <alignment horizontal="center"/>
      <protection locked="0"/>
    </xf>
    <xf numFmtId="0" fontId="5" fillId="0" borderId="48" xfId="0" applyFont="1" applyBorder="1" applyAlignment="1" applyProtection="1">
      <alignment horizontal="center"/>
      <protection locked="0"/>
    </xf>
    <xf numFmtId="0" fontId="5" fillId="0" borderId="49" xfId="0" applyFont="1" applyBorder="1" applyAlignment="1" applyProtection="1">
      <alignment horizontal="center"/>
      <protection locked="0"/>
    </xf>
    <xf numFmtId="0" fontId="0" fillId="0" borderId="50" xfId="0" applyBorder="1" applyAlignment="1" applyProtection="1">
      <alignment horizontal="center"/>
      <protection locked="0"/>
    </xf>
    <xf numFmtId="0" fontId="0" fillId="0" borderId="51" xfId="0" applyBorder="1" applyAlignment="1" applyProtection="1">
      <alignment horizontal="center"/>
      <protection locked="0"/>
    </xf>
    <xf numFmtId="0" fontId="0" fillId="0" borderId="52" xfId="0" applyBorder="1" applyAlignment="1" applyProtection="1">
      <alignment horizontal="center"/>
      <protection locked="0"/>
    </xf>
    <xf numFmtId="49" fontId="7" fillId="0" borderId="13" xfId="0" applyNumberFormat="1" applyFont="1" applyBorder="1" applyAlignment="1" applyProtection="1">
      <alignment horizontal="left" vertical="center"/>
      <protection locked="0"/>
    </xf>
    <xf numFmtId="49" fontId="7" fillId="0" borderId="13" xfId="0" applyNumberFormat="1" applyFont="1" applyBorder="1" applyAlignment="1" applyProtection="1">
      <alignment horizontal="center" vertical="center"/>
      <protection locked="0"/>
    </xf>
    <xf numFmtId="49" fontId="1" fillId="0" borderId="13" xfId="0" applyNumberFormat="1" applyFont="1" applyBorder="1" applyAlignment="1" applyProtection="1">
      <alignment horizontal="center" vertical="center"/>
      <protection locked="0"/>
    </xf>
    <xf numFmtId="49" fontId="6" fillId="0" borderId="11" xfId="0" applyNumberFormat="1" applyFont="1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4" xfId="0" applyBorder="1" applyProtection="1">
      <protection locked="0"/>
    </xf>
    <xf numFmtId="0" fontId="0" fillId="0" borderId="16" xfId="0" applyBorder="1" applyProtection="1">
      <protection locked="0"/>
    </xf>
    <xf numFmtId="49" fontId="6" fillId="0" borderId="17" xfId="0" applyNumberFormat="1" applyFont="1" applyBorder="1" applyAlignment="1" applyProtection="1">
      <alignment horizontal="left" vertic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6" fillId="0" borderId="17" xfId="0" applyFont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0" fillId="0" borderId="18" xfId="0" applyBorder="1" applyProtection="1">
      <protection locked="0"/>
    </xf>
    <xf numFmtId="49" fontId="7" fillId="0" borderId="10" xfId="0" applyNumberFormat="1" applyFont="1" applyBorder="1" applyAlignment="1" applyProtection="1">
      <alignment horizontal="left"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locked="0"/>
    </xf>
    <xf numFmtId="0" fontId="7" fillId="0" borderId="19" xfId="0" applyFont="1" applyBorder="1" applyAlignment="1" applyProtection="1">
      <alignment horizontal="left" vertical="center"/>
      <protection locked="0"/>
    </xf>
    <xf numFmtId="0" fontId="0" fillId="0" borderId="19" xfId="0" applyBorder="1" applyProtection="1">
      <protection locked="0"/>
    </xf>
    <xf numFmtId="0" fontId="54" fillId="0" borderId="11" xfId="0" applyFont="1" applyBorder="1" applyAlignment="1">
      <alignment horizontal="left"/>
    </xf>
    <xf numFmtId="0" fontId="54" fillId="0" borderId="14" xfId="0" applyFont="1" applyBorder="1" applyAlignment="1">
      <alignment horizontal="left"/>
    </xf>
    <xf numFmtId="0" fontId="54" fillId="0" borderId="11" xfId="0" applyFont="1" applyBorder="1" applyAlignment="1">
      <alignment horizontal="center"/>
    </xf>
    <xf numFmtId="0" fontId="54" fillId="0" borderId="16" xfId="0" applyFont="1" applyBorder="1" applyAlignment="1">
      <alignment horizontal="center"/>
    </xf>
    <xf numFmtId="0" fontId="6" fillId="0" borderId="11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top"/>
    </xf>
    <xf numFmtId="0" fontId="6" fillId="0" borderId="20" xfId="0" applyFont="1" applyBorder="1" applyAlignment="1">
      <alignment horizontal="center" vertical="top"/>
    </xf>
    <xf numFmtId="0" fontId="6" fillId="0" borderId="1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17" fillId="0" borderId="0" xfId="0" applyFont="1" applyAlignment="1">
      <alignment horizontal="left"/>
    </xf>
    <xf numFmtId="0" fontId="16" fillId="0" borderId="0" xfId="0" applyFont="1"/>
    <xf numFmtId="0" fontId="6" fillId="0" borderId="11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0" fontId="6" fillId="0" borderId="16" xfId="0" applyFont="1" applyBorder="1" applyAlignment="1">
      <alignment horizontal="left"/>
    </xf>
    <xf numFmtId="0" fontId="1" fillId="0" borderId="20" xfId="0" applyFont="1" applyBorder="1" applyProtection="1">
      <protection locked="0"/>
    </xf>
    <xf numFmtId="0" fontId="17" fillId="0" borderId="19" xfId="0" applyFont="1" applyBorder="1" applyAlignment="1">
      <alignment horizontal="left"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165" fontId="3" fillId="24" borderId="10" xfId="0" applyNumberFormat="1" applyFont="1" applyFill="1" applyBorder="1" applyAlignment="1">
      <alignment horizontal="left" vertical="center"/>
    </xf>
    <xf numFmtId="165" fontId="3" fillId="24" borderId="19" xfId="0" applyNumberFormat="1" applyFont="1" applyFill="1" applyBorder="1" applyAlignment="1">
      <alignment horizontal="left" vertical="center"/>
    </xf>
    <xf numFmtId="165" fontId="3" fillId="24" borderId="20" xfId="0" applyNumberFormat="1" applyFont="1" applyFill="1" applyBorder="1" applyAlignment="1">
      <alignment horizontal="left" vertical="center"/>
    </xf>
    <xf numFmtId="0" fontId="3" fillId="0" borderId="19" xfId="0" applyFont="1" applyBorder="1" applyAlignment="1" applyProtection="1">
      <alignment horizontal="left" vertical="center"/>
      <protection locked="0"/>
    </xf>
    <xf numFmtId="0" fontId="3" fillId="0" borderId="0" xfId="0" applyFont="1" applyAlignment="1">
      <alignment vertical="top"/>
    </xf>
    <xf numFmtId="0" fontId="6" fillId="0" borderId="17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18" xfId="0" applyFont="1" applyBorder="1" applyAlignment="1">
      <alignment horizontal="left"/>
    </xf>
    <xf numFmtId="165" fontId="7" fillId="24" borderId="10" xfId="0" applyNumberFormat="1" applyFont="1" applyFill="1" applyBorder="1" applyAlignment="1">
      <alignment horizontal="left" vertical="center"/>
    </xf>
    <xf numFmtId="165" fontId="7" fillId="24" borderId="19" xfId="0" applyNumberFormat="1" applyFont="1" applyFill="1" applyBorder="1" applyAlignment="1">
      <alignment horizontal="left" vertical="center"/>
    </xf>
    <xf numFmtId="165" fontId="7" fillId="24" borderId="20" xfId="0" applyNumberFormat="1" applyFont="1" applyFill="1" applyBorder="1" applyAlignment="1">
      <alignment horizontal="left" vertical="center"/>
    </xf>
    <xf numFmtId="0" fontId="6" fillId="0" borderId="11" xfId="0" applyFont="1" applyBorder="1" applyAlignment="1" applyProtection="1">
      <alignment horizontal="left"/>
      <protection locked="0"/>
    </xf>
    <xf numFmtId="0" fontId="6" fillId="0" borderId="14" xfId="0" applyFont="1" applyBorder="1" applyAlignment="1" applyProtection="1">
      <alignment horizontal="left"/>
      <protection locked="0"/>
    </xf>
    <xf numFmtId="0" fontId="6" fillId="0" borderId="16" xfId="0" applyFont="1" applyBorder="1" applyAlignment="1" applyProtection="1">
      <alignment horizontal="left"/>
      <protection locked="0"/>
    </xf>
    <xf numFmtId="49" fontId="7" fillId="0" borderId="19" xfId="0" applyNumberFormat="1" applyFont="1" applyBorder="1" applyAlignment="1" applyProtection="1">
      <alignment horizontal="left" vertical="center"/>
      <protection locked="0"/>
    </xf>
    <xf numFmtId="49" fontId="7" fillId="0" borderId="20" xfId="0" applyNumberFormat="1" applyFont="1" applyBorder="1" applyAlignment="1" applyProtection="1">
      <alignment horizontal="left" vertical="center"/>
      <protection locked="0"/>
    </xf>
    <xf numFmtId="0" fontId="7" fillId="0" borderId="10" xfId="0" applyFont="1" applyBorder="1" applyAlignment="1" applyProtection="1">
      <alignment horizontal="center" vertical="center"/>
      <protection locked="0"/>
    </xf>
    <xf numFmtId="0" fontId="7" fillId="0" borderId="19" xfId="0" applyFont="1" applyBorder="1" applyAlignment="1" applyProtection="1">
      <alignment horizontal="center" vertical="center"/>
      <protection locked="0"/>
    </xf>
    <xf numFmtId="0" fontId="7" fillId="0" borderId="20" xfId="0" applyFont="1" applyBorder="1" applyAlignment="1" applyProtection="1">
      <alignment horizontal="center" vertical="center"/>
      <protection locked="0"/>
    </xf>
    <xf numFmtId="0" fontId="7" fillId="0" borderId="20" xfId="0" applyFont="1" applyBorder="1" applyAlignment="1" applyProtection="1">
      <alignment horizontal="left" vertical="center"/>
      <protection locked="0"/>
    </xf>
    <xf numFmtId="0" fontId="8" fillId="0" borderId="18" xfId="0" applyFont="1" applyBorder="1" applyAlignment="1">
      <alignment horizontal="right" vertical="center"/>
    </xf>
    <xf numFmtId="49" fontId="7" fillId="0" borderId="25" xfId="0" applyNumberFormat="1" applyFont="1" applyBorder="1" applyAlignment="1" applyProtection="1">
      <alignment horizontal="center"/>
      <protection locked="0"/>
    </xf>
    <xf numFmtId="49" fontId="7" fillId="0" borderId="43" xfId="0" applyNumberFormat="1" applyFont="1" applyBorder="1" applyAlignment="1" applyProtection="1">
      <alignment horizontal="center"/>
      <protection locked="0"/>
    </xf>
    <xf numFmtId="49" fontId="7" fillId="0" borderId="25" xfId="0" applyNumberFormat="1" applyFont="1" applyBorder="1" applyAlignment="1" applyProtection="1">
      <alignment horizontal="left"/>
      <protection locked="0"/>
    </xf>
    <xf numFmtId="49" fontId="7" fillId="0" borderId="43" xfId="0" applyNumberFormat="1" applyFont="1" applyBorder="1" applyAlignment="1" applyProtection="1">
      <alignment horizontal="left"/>
      <protection locked="0"/>
    </xf>
    <xf numFmtId="49" fontId="7" fillId="0" borderId="24" xfId="0" applyNumberFormat="1" applyFont="1" applyBorder="1" applyAlignment="1" applyProtection="1">
      <alignment horizontal="left"/>
      <protection locked="0"/>
    </xf>
    <xf numFmtId="0" fontId="19" fillId="0" borderId="25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43" xfId="0" applyFont="1" applyBorder="1" applyAlignment="1">
      <alignment horizontal="center" vertical="center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0" fontId="0" fillId="0" borderId="16" xfId="0" applyBorder="1" applyAlignment="1">
      <alignment horizontal="left" vertical="top"/>
    </xf>
    <xf numFmtId="165" fontId="7" fillId="24" borderId="20" xfId="0" applyNumberFormat="1" applyFont="1" applyFill="1" applyBorder="1" applyAlignment="1">
      <alignment horizontal="left"/>
    </xf>
    <xf numFmtId="0" fontId="19" fillId="0" borderId="18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3" fillId="24" borderId="20" xfId="0" applyFont="1" applyFill="1" applyBorder="1" applyAlignment="1">
      <alignment horizontal="left" vertical="center"/>
    </xf>
    <xf numFmtId="165" fontId="7" fillId="25" borderId="10" xfId="0" applyNumberFormat="1" applyFont="1" applyFill="1" applyBorder="1" applyAlignment="1">
      <alignment horizontal="left"/>
    </xf>
    <xf numFmtId="165" fontId="7" fillId="25" borderId="19" xfId="0" applyNumberFormat="1" applyFont="1" applyFill="1" applyBorder="1" applyAlignment="1">
      <alignment horizontal="left"/>
    </xf>
    <xf numFmtId="165" fontId="7" fillId="25" borderId="20" xfId="0" applyNumberFormat="1" applyFont="1" applyFill="1" applyBorder="1" applyAlignment="1">
      <alignment horizontal="left"/>
    </xf>
    <xf numFmtId="49" fontId="7" fillId="25" borderId="43" xfId="0" applyNumberFormat="1" applyFont="1" applyFill="1" applyBorder="1" applyAlignment="1" applyProtection="1">
      <alignment horizontal="left"/>
      <protection locked="0"/>
    </xf>
    <xf numFmtId="49" fontId="7" fillId="25" borderId="24" xfId="0" applyNumberFormat="1" applyFont="1" applyFill="1" applyBorder="1" applyAlignment="1" applyProtection="1">
      <alignment horizontal="left"/>
      <protection locked="0"/>
    </xf>
    <xf numFmtId="49" fontId="7" fillId="25" borderId="25" xfId="0" applyNumberFormat="1" applyFont="1" applyFill="1" applyBorder="1" applyAlignment="1" applyProtection="1">
      <alignment horizontal="center"/>
      <protection locked="0"/>
    </xf>
    <xf numFmtId="49" fontId="7" fillId="25" borderId="43" xfId="0" applyNumberFormat="1" applyFont="1" applyFill="1" applyBorder="1" applyAlignment="1" applyProtection="1">
      <alignment horizontal="center"/>
      <protection locked="0"/>
    </xf>
    <xf numFmtId="164" fontId="10" fillId="25" borderId="0" xfId="0" applyNumberFormat="1" applyFont="1" applyFill="1" applyAlignment="1">
      <alignment horizontal="center" vertical="center"/>
    </xf>
    <xf numFmtId="42" fontId="7" fillId="25" borderId="43" xfId="0" applyNumberFormat="1" applyFont="1" applyFill="1" applyBorder="1" applyAlignment="1" applyProtection="1">
      <alignment horizontal="center"/>
      <protection locked="0"/>
    </xf>
    <xf numFmtId="42" fontId="7" fillId="25" borderId="24" xfId="0" applyNumberFormat="1" applyFont="1" applyFill="1" applyBorder="1" applyAlignment="1" applyProtection="1">
      <alignment horizontal="center"/>
      <protection locked="0"/>
    </xf>
    <xf numFmtId="0" fontId="8" fillId="25" borderId="0" xfId="0" applyFont="1" applyFill="1" applyAlignment="1">
      <alignment horizontal="right" vertical="center"/>
    </xf>
    <xf numFmtId="0" fontId="10" fillId="25" borderId="0" xfId="0" applyFont="1" applyFill="1" applyAlignment="1">
      <alignment horizontal="left"/>
    </xf>
    <xf numFmtId="0" fontId="3" fillId="25" borderId="18" xfId="0" applyFont="1" applyFill="1" applyBorder="1" applyAlignment="1">
      <alignment horizontal="center" vertical="center"/>
    </xf>
    <xf numFmtId="0" fontId="8" fillId="25" borderId="18" xfId="0" applyFont="1" applyFill="1" applyBorder="1" applyAlignment="1">
      <alignment horizontal="right" vertical="center"/>
    </xf>
    <xf numFmtId="0" fontId="6" fillId="25" borderId="16" xfId="0" applyFont="1" applyFill="1" applyBorder="1" applyAlignment="1">
      <alignment horizontal="left" vertical="center"/>
    </xf>
    <xf numFmtId="0" fontId="7" fillId="25" borderId="10" xfId="0" applyFont="1" applyFill="1" applyBorder="1" applyAlignment="1" applyProtection="1">
      <alignment horizontal="center"/>
      <protection locked="0"/>
    </xf>
    <xf numFmtId="0" fontId="7" fillId="25" borderId="20" xfId="0" applyFont="1" applyFill="1" applyBorder="1" applyAlignment="1" applyProtection="1">
      <alignment horizontal="center"/>
      <protection locked="0"/>
    </xf>
    <xf numFmtId="14" fontId="7" fillId="0" borderId="10" xfId="0" applyNumberFormat="1" applyFont="1" applyBorder="1" applyAlignment="1" applyProtection="1">
      <alignment horizontal="left"/>
      <protection locked="0"/>
    </xf>
    <xf numFmtId="14" fontId="7" fillId="0" borderId="19" xfId="0" applyNumberFormat="1" applyFont="1" applyBorder="1" applyAlignment="1" applyProtection="1">
      <alignment horizontal="left"/>
      <protection locked="0"/>
    </xf>
    <xf numFmtId="14" fontId="7" fillId="0" borderId="20" xfId="0" applyNumberFormat="1" applyFont="1" applyBorder="1" applyAlignment="1" applyProtection="1">
      <alignment horizontal="left"/>
      <protection locked="0"/>
    </xf>
  </cellXfs>
  <cellStyles count="47">
    <cellStyle name="Accent1" xfId="1" xr:uid="{00000000-0005-0000-0000-000000000000}"/>
    <cellStyle name="Accent1 - 20%" xfId="2" xr:uid="{00000000-0005-0000-0000-000001000000}"/>
    <cellStyle name="Accent1 - 40%" xfId="3" xr:uid="{00000000-0005-0000-0000-000002000000}"/>
    <cellStyle name="Accent1 - 60%" xfId="4" xr:uid="{00000000-0005-0000-0000-000003000000}"/>
    <cellStyle name="Accent2" xfId="5" xr:uid="{00000000-0005-0000-0000-000004000000}"/>
    <cellStyle name="Accent2 - 20%" xfId="6" xr:uid="{00000000-0005-0000-0000-000005000000}"/>
    <cellStyle name="Accent2 - 40%" xfId="7" xr:uid="{00000000-0005-0000-0000-000006000000}"/>
    <cellStyle name="Accent2 - 60%" xfId="8" xr:uid="{00000000-0005-0000-0000-000007000000}"/>
    <cellStyle name="Accent3" xfId="9" xr:uid="{00000000-0005-0000-0000-000008000000}"/>
    <cellStyle name="Accent3 - 20%" xfId="10" xr:uid="{00000000-0005-0000-0000-000009000000}"/>
    <cellStyle name="Accent3 - 40%" xfId="11" xr:uid="{00000000-0005-0000-0000-00000A000000}"/>
    <cellStyle name="Accent3 - 60%" xfId="12" xr:uid="{00000000-0005-0000-0000-00000B000000}"/>
    <cellStyle name="Accent4" xfId="13" xr:uid="{00000000-0005-0000-0000-00000C000000}"/>
    <cellStyle name="Accent4 - 20%" xfId="14" xr:uid="{00000000-0005-0000-0000-00000D000000}"/>
    <cellStyle name="Accent4 - 40%" xfId="15" xr:uid="{00000000-0005-0000-0000-00000E000000}"/>
    <cellStyle name="Accent4 - 60%" xfId="16" xr:uid="{00000000-0005-0000-0000-00000F000000}"/>
    <cellStyle name="Accent5" xfId="17" xr:uid="{00000000-0005-0000-0000-000010000000}"/>
    <cellStyle name="Accent5 - 20%" xfId="18" xr:uid="{00000000-0005-0000-0000-000011000000}"/>
    <cellStyle name="Accent5 - 40%" xfId="19" xr:uid="{00000000-0005-0000-0000-000012000000}"/>
    <cellStyle name="Accent5 - 60%" xfId="20" xr:uid="{00000000-0005-0000-0000-000013000000}"/>
    <cellStyle name="Accent6" xfId="21" xr:uid="{00000000-0005-0000-0000-000014000000}"/>
    <cellStyle name="Accent6 - 20%" xfId="22" xr:uid="{00000000-0005-0000-0000-000015000000}"/>
    <cellStyle name="Accent6 - 40%" xfId="23" xr:uid="{00000000-0005-0000-0000-000016000000}"/>
    <cellStyle name="Accent6 - 60%" xfId="24" xr:uid="{00000000-0005-0000-0000-000017000000}"/>
    <cellStyle name="Bad" xfId="25" xr:uid="{00000000-0005-0000-0000-000018000000}"/>
    <cellStyle name="Calculation" xfId="26" xr:uid="{00000000-0005-0000-0000-000019000000}"/>
    <cellStyle name="Check Cell" xfId="27" xr:uid="{00000000-0005-0000-0000-00001A000000}"/>
    <cellStyle name="Emphasis 1" xfId="28" xr:uid="{00000000-0005-0000-0000-00001B000000}"/>
    <cellStyle name="Emphasis 2" xfId="29" xr:uid="{00000000-0005-0000-0000-00001C000000}"/>
    <cellStyle name="Emphasis 3" xfId="30" xr:uid="{00000000-0005-0000-0000-00001D000000}"/>
    <cellStyle name="Format 1" xfId="31" xr:uid="{00000000-0005-0000-0000-00001E000000}"/>
    <cellStyle name="Good" xfId="32" xr:uid="{00000000-0005-0000-0000-00001F000000}"/>
    <cellStyle name="Heading 1" xfId="33" xr:uid="{00000000-0005-0000-0000-000020000000}"/>
    <cellStyle name="Heading 2" xfId="34" xr:uid="{00000000-0005-0000-0000-000021000000}"/>
    <cellStyle name="Heading 3" xfId="35" xr:uid="{00000000-0005-0000-0000-000022000000}"/>
    <cellStyle name="Heading 4" xfId="36" xr:uid="{00000000-0005-0000-0000-000023000000}"/>
    <cellStyle name="Hyperlänk" xfId="37" builtinId="8"/>
    <cellStyle name="Input" xfId="38" xr:uid="{00000000-0005-0000-0000-000025000000}"/>
    <cellStyle name="Linked Cell" xfId="39" xr:uid="{00000000-0005-0000-0000-000026000000}"/>
    <cellStyle name="Neutral" xfId="40" builtinId="28" customBuiltin="1"/>
    <cellStyle name="Normal" xfId="0" builtinId="0"/>
    <cellStyle name="Normal_AGGDATA" xfId="41" xr:uid="{00000000-0005-0000-0000-000029000000}"/>
    <cellStyle name="Note" xfId="42" xr:uid="{00000000-0005-0000-0000-00002A000000}"/>
    <cellStyle name="Output" xfId="43" xr:uid="{00000000-0005-0000-0000-00002B000000}"/>
    <cellStyle name="Sheet Title" xfId="44" xr:uid="{00000000-0005-0000-0000-00002C000000}"/>
    <cellStyle name="Total" xfId="45" xr:uid="{00000000-0005-0000-0000-00002D000000}"/>
    <cellStyle name="Warning Text" xfId="46" xr:uid="{00000000-0005-0000-0000-00002E000000}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142875</xdr:rowOff>
        </xdr:from>
        <xdr:to>
          <xdr:col>5</xdr:col>
          <xdr:colOff>104775</xdr:colOff>
          <xdr:row>20</xdr:row>
          <xdr:rowOff>28575</xdr:rowOff>
        </xdr:to>
        <xdr:sp macro="" textlink="">
          <xdr:nvSpPr>
            <xdr:cNvPr id="543745" name="Check Box 1" hidden="1">
              <a:extLst>
                <a:ext uri="{63B3BB69-23CF-44E3-9099-C40C66FF867C}">
                  <a14:compatExt spid="_x0000_s543745"/>
                </a:ext>
                <a:ext uri="{FF2B5EF4-FFF2-40B4-BE49-F238E27FC236}">
                  <a16:creationId xmlns:a16="http://schemas.microsoft.com/office/drawing/2014/main" id="{00000000-0008-0000-0000-000001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142875</xdr:rowOff>
        </xdr:from>
        <xdr:to>
          <xdr:col>5</xdr:col>
          <xdr:colOff>104775</xdr:colOff>
          <xdr:row>21</xdr:row>
          <xdr:rowOff>28575</xdr:rowOff>
        </xdr:to>
        <xdr:sp macro="" textlink="">
          <xdr:nvSpPr>
            <xdr:cNvPr id="543746" name="Check Box 2" hidden="1">
              <a:extLst>
                <a:ext uri="{63B3BB69-23CF-44E3-9099-C40C66FF867C}">
                  <a14:compatExt spid="_x0000_s543746"/>
                </a:ext>
                <a:ext uri="{FF2B5EF4-FFF2-40B4-BE49-F238E27FC236}">
                  <a16:creationId xmlns:a16="http://schemas.microsoft.com/office/drawing/2014/main" id="{00000000-0008-0000-0000-000002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142875</xdr:rowOff>
        </xdr:from>
        <xdr:to>
          <xdr:col>5</xdr:col>
          <xdr:colOff>104775</xdr:colOff>
          <xdr:row>22</xdr:row>
          <xdr:rowOff>28575</xdr:rowOff>
        </xdr:to>
        <xdr:sp macro="" textlink="">
          <xdr:nvSpPr>
            <xdr:cNvPr id="543747" name="Check Box 3" hidden="1">
              <a:extLst>
                <a:ext uri="{63B3BB69-23CF-44E3-9099-C40C66FF867C}">
                  <a14:compatExt spid="_x0000_s543747"/>
                </a:ext>
                <a:ext uri="{FF2B5EF4-FFF2-40B4-BE49-F238E27FC236}">
                  <a16:creationId xmlns:a16="http://schemas.microsoft.com/office/drawing/2014/main" id="{00000000-0008-0000-0000-000003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142875</xdr:rowOff>
        </xdr:from>
        <xdr:to>
          <xdr:col>5</xdr:col>
          <xdr:colOff>104775</xdr:colOff>
          <xdr:row>23</xdr:row>
          <xdr:rowOff>28575</xdr:rowOff>
        </xdr:to>
        <xdr:sp macro="" textlink="">
          <xdr:nvSpPr>
            <xdr:cNvPr id="543748" name="Check Box 4" hidden="1">
              <a:extLst>
                <a:ext uri="{63B3BB69-23CF-44E3-9099-C40C66FF867C}">
                  <a14:compatExt spid="_x0000_s543748"/>
                </a:ext>
                <a:ext uri="{FF2B5EF4-FFF2-40B4-BE49-F238E27FC236}">
                  <a16:creationId xmlns:a16="http://schemas.microsoft.com/office/drawing/2014/main" id="{00000000-0008-0000-0000-000004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142875</xdr:rowOff>
        </xdr:from>
        <xdr:to>
          <xdr:col>5</xdr:col>
          <xdr:colOff>104775</xdr:colOff>
          <xdr:row>24</xdr:row>
          <xdr:rowOff>28575</xdr:rowOff>
        </xdr:to>
        <xdr:sp macro="" textlink="">
          <xdr:nvSpPr>
            <xdr:cNvPr id="543749" name="Check Box 5" hidden="1">
              <a:extLst>
                <a:ext uri="{63B3BB69-23CF-44E3-9099-C40C66FF867C}">
                  <a14:compatExt spid="_x0000_s543749"/>
                </a:ext>
                <a:ext uri="{FF2B5EF4-FFF2-40B4-BE49-F238E27FC236}">
                  <a16:creationId xmlns:a16="http://schemas.microsoft.com/office/drawing/2014/main" id="{00000000-0008-0000-0000-000005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142875</xdr:rowOff>
        </xdr:from>
        <xdr:to>
          <xdr:col>5</xdr:col>
          <xdr:colOff>104775</xdr:colOff>
          <xdr:row>26</xdr:row>
          <xdr:rowOff>28575</xdr:rowOff>
        </xdr:to>
        <xdr:sp macro="" textlink="">
          <xdr:nvSpPr>
            <xdr:cNvPr id="543750" name="Check Box 6" hidden="1">
              <a:extLst>
                <a:ext uri="{63B3BB69-23CF-44E3-9099-C40C66FF867C}">
                  <a14:compatExt spid="_x0000_s543750"/>
                </a:ext>
                <a:ext uri="{FF2B5EF4-FFF2-40B4-BE49-F238E27FC236}">
                  <a16:creationId xmlns:a16="http://schemas.microsoft.com/office/drawing/2014/main" id="{00000000-0008-0000-0000-000006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142875</xdr:rowOff>
        </xdr:from>
        <xdr:to>
          <xdr:col>5</xdr:col>
          <xdr:colOff>104775</xdr:colOff>
          <xdr:row>27</xdr:row>
          <xdr:rowOff>28575</xdr:rowOff>
        </xdr:to>
        <xdr:sp macro="" textlink="">
          <xdr:nvSpPr>
            <xdr:cNvPr id="543751" name="Check Box 7" hidden="1">
              <a:extLst>
                <a:ext uri="{63B3BB69-23CF-44E3-9099-C40C66FF867C}">
                  <a14:compatExt spid="_x0000_s543751"/>
                </a:ext>
                <a:ext uri="{FF2B5EF4-FFF2-40B4-BE49-F238E27FC236}">
                  <a16:creationId xmlns:a16="http://schemas.microsoft.com/office/drawing/2014/main" id="{00000000-0008-0000-0000-000007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142875</xdr:rowOff>
        </xdr:from>
        <xdr:to>
          <xdr:col>5</xdr:col>
          <xdr:colOff>104775</xdr:colOff>
          <xdr:row>28</xdr:row>
          <xdr:rowOff>28575</xdr:rowOff>
        </xdr:to>
        <xdr:sp macro="" textlink="">
          <xdr:nvSpPr>
            <xdr:cNvPr id="543752" name="Check Box 8" hidden="1">
              <a:extLst>
                <a:ext uri="{63B3BB69-23CF-44E3-9099-C40C66FF867C}">
                  <a14:compatExt spid="_x0000_s543752"/>
                </a:ext>
                <a:ext uri="{FF2B5EF4-FFF2-40B4-BE49-F238E27FC236}">
                  <a16:creationId xmlns:a16="http://schemas.microsoft.com/office/drawing/2014/main" id="{00000000-0008-0000-0000-000008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142875</xdr:rowOff>
        </xdr:from>
        <xdr:to>
          <xdr:col>5</xdr:col>
          <xdr:colOff>104775</xdr:colOff>
          <xdr:row>29</xdr:row>
          <xdr:rowOff>28575</xdr:rowOff>
        </xdr:to>
        <xdr:sp macro="" textlink="">
          <xdr:nvSpPr>
            <xdr:cNvPr id="543753" name="Check Box 9" hidden="1">
              <a:extLst>
                <a:ext uri="{63B3BB69-23CF-44E3-9099-C40C66FF867C}">
                  <a14:compatExt spid="_x0000_s543753"/>
                </a:ext>
                <a:ext uri="{FF2B5EF4-FFF2-40B4-BE49-F238E27FC236}">
                  <a16:creationId xmlns:a16="http://schemas.microsoft.com/office/drawing/2014/main" id="{00000000-0008-0000-0000-000009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142875</xdr:rowOff>
        </xdr:from>
        <xdr:to>
          <xdr:col>5</xdr:col>
          <xdr:colOff>104775</xdr:colOff>
          <xdr:row>30</xdr:row>
          <xdr:rowOff>28575</xdr:rowOff>
        </xdr:to>
        <xdr:sp macro="" textlink="">
          <xdr:nvSpPr>
            <xdr:cNvPr id="543754" name="Check Box 10" hidden="1">
              <a:extLst>
                <a:ext uri="{63B3BB69-23CF-44E3-9099-C40C66FF867C}">
                  <a14:compatExt spid="_x0000_s543754"/>
                </a:ext>
                <a:ext uri="{FF2B5EF4-FFF2-40B4-BE49-F238E27FC236}">
                  <a16:creationId xmlns:a16="http://schemas.microsoft.com/office/drawing/2014/main" id="{00000000-0008-0000-0000-00000A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142875</xdr:rowOff>
        </xdr:from>
        <xdr:to>
          <xdr:col>5</xdr:col>
          <xdr:colOff>104775</xdr:colOff>
          <xdr:row>31</xdr:row>
          <xdr:rowOff>28575</xdr:rowOff>
        </xdr:to>
        <xdr:sp macro="" textlink="">
          <xdr:nvSpPr>
            <xdr:cNvPr id="543755" name="Check Box 11" hidden="1">
              <a:extLst>
                <a:ext uri="{63B3BB69-23CF-44E3-9099-C40C66FF867C}">
                  <a14:compatExt spid="_x0000_s543755"/>
                </a:ext>
                <a:ext uri="{FF2B5EF4-FFF2-40B4-BE49-F238E27FC236}">
                  <a16:creationId xmlns:a16="http://schemas.microsoft.com/office/drawing/2014/main" id="{00000000-0008-0000-0000-00000B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142875</xdr:rowOff>
        </xdr:from>
        <xdr:to>
          <xdr:col>5</xdr:col>
          <xdr:colOff>104775</xdr:colOff>
          <xdr:row>32</xdr:row>
          <xdr:rowOff>28575</xdr:rowOff>
        </xdr:to>
        <xdr:sp macro="" textlink="">
          <xdr:nvSpPr>
            <xdr:cNvPr id="543756" name="Check Box 12" hidden="1">
              <a:extLst>
                <a:ext uri="{63B3BB69-23CF-44E3-9099-C40C66FF867C}">
                  <a14:compatExt spid="_x0000_s543756"/>
                </a:ext>
                <a:ext uri="{FF2B5EF4-FFF2-40B4-BE49-F238E27FC236}">
                  <a16:creationId xmlns:a16="http://schemas.microsoft.com/office/drawing/2014/main" id="{00000000-0008-0000-0000-00000C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142875</xdr:rowOff>
        </xdr:from>
        <xdr:to>
          <xdr:col>5</xdr:col>
          <xdr:colOff>104775</xdr:colOff>
          <xdr:row>33</xdr:row>
          <xdr:rowOff>28575</xdr:rowOff>
        </xdr:to>
        <xdr:sp macro="" textlink="">
          <xdr:nvSpPr>
            <xdr:cNvPr id="543757" name="Check Box 13" hidden="1">
              <a:extLst>
                <a:ext uri="{63B3BB69-23CF-44E3-9099-C40C66FF867C}">
                  <a14:compatExt spid="_x0000_s543757"/>
                </a:ext>
                <a:ext uri="{FF2B5EF4-FFF2-40B4-BE49-F238E27FC236}">
                  <a16:creationId xmlns:a16="http://schemas.microsoft.com/office/drawing/2014/main" id="{00000000-0008-0000-0000-00000D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142875</xdr:rowOff>
        </xdr:from>
        <xdr:to>
          <xdr:col>5</xdr:col>
          <xdr:colOff>104775</xdr:colOff>
          <xdr:row>34</xdr:row>
          <xdr:rowOff>28575</xdr:rowOff>
        </xdr:to>
        <xdr:sp macro="" textlink="">
          <xdr:nvSpPr>
            <xdr:cNvPr id="543758" name="Check Box 14" hidden="1">
              <a:extLst>
                <a:ext uri="{63B3BB69-23CF-44E3-9099-C40C66FF867C}">
                  <a14:compatExt spid="_x0000_s543758"/>
                </a:ext>
                <a:ext uri="{FF2B5EF4-FFF2-40B4-BE49-F238E27FC236}">
                  <a16:creationId xmlns:a16="http://schemas.microsoft.com/office/drawing/2014/main" id="{00000000-0008-0000-0000-00000E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142875</xdr:rowOff>
        </xdr:from>
        <xdr:to>
          <xdr:col>5</xdr:col>
          <xdr:colOff>104775</xdr:colOff>
          <xdr:row>35</xdr:row>
          <xdr:rowOff>28575</xdr:rowOff>
        </xdr:to>
        <xdr:sp macro="" textlink="">
          <xdr:nvSpPr>
            <xdr:cNvPr id="543759" name="Check Box 15" hidden="1">
              <a:extLst>
                <a:ext uri="{63B3BB69-23CF-44E3-9099-C40C66FF867C}">
                  <a14:compatExt spid="_x0000_s543759"/>
                </a:ext>
                <a:ext uri="{FF2B5EF4-FFF2-40B4-BE49-F238E27FC236}">
                  <a16:creationId xmlns:a16="http://schemas.microsoft.com/office/drawing/2014/main" id="{00000000-0008-0000-0000-00000F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35</xdr:row>
          <xdr:rowOff>142875</xdr:rowOff>
        </xdr:from>
        <xdr:to>
          <xdr:col>5</xdr:col>
          <xdr:colOff>85725</xdr:colOff>
          <xdr:row>37</xdr:row>
          <xdr:rowOff>28575</xdr:rowOff>
        </xdr:to>
        <xdr:sp macro="" textlink="">
          <xdr:nvSpPr>
            <xdr:cNvPr id="543760" name="Check Box 16" hidden="1">
              <a:extLst>
                <a:ext uri="{63B3BB69-23CF-44E3-9099-C40C66FF867C}">
                  <a14:compatExt spid="_x0000_s543760"/>
                </a:ext>
                <a:ext uri="{FF2B5EF4-FFF2-40B4-BE49-F238E27FC236}">
                  <a16:creationId xmlns:a16="http://schemas.microsoft.com/office/drawing/2014/main" id="{00000000-0008-0000-0000-000010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36</xdr:row>
          <xdr:rowOff>142875</xdr:rowOff>
        </xdr:from>
        <xdr:to>
          <xdr:col>5</xdr:col>
          <xdr:colOff>85725</xdr:colOff>
          <xdr:row>38</xdr:row>
          <xdr:rowOff>28575</xdr:rowOff>
        </xdr:to>
        <xdr:sp macro="" textlink="">
          <xdr:nvSpPr>
            <xdr:cNvPr id="543761" name="Check Box 17" hidden="1">
              <a:extLst>
                <a:ext uri="{63B3BB69-23CF-44E3-9099-C40C66FF867C}">
                  <a14:compatExt spid="_x0000_s543761"/>
                </a:ext>
                <a:ext uri="{FF2B5EF4-FFF2-40B4-BE49-F238E27FC236}">
                  <a16:creationId xmlns:a16="http://schemas.microsoft.com/office/drawing/2014/main" id="{00000000-0008-0000-0000-000011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37</xdr:row>
          <xdr:rowOff>142875</xdr:rowOff>
        </xdr:from>
        <xdr:to>
          <xdr:col>5</xdr:col>
          <xdr:colOff>85725</xdr:colOff>
          <xdr:row>39</xdr:row>
          <xdr:rowOff>28575</xdr:rowOff>
        </xdr:to>
        <xdr:sp macro="" textlink="">
          <xdr:nvSpPr>
            <xdr:cNvPr id="543762" name="Check Box 18" hidden="1">
              <a:extLst>
                <a:ext uri="{63B3BB69-23CF-44E3-9099-C40C66FF867C}">
                  <a14:compatExt spid="_x0000_s543762"/>
                </a:ext>
                <a:ext uri="{FF2B5EF4-FFF2-40B4-BE49-F238E27FC236}">
                  <a16:creationId xmlns:a16="http://schemas.microsoft.com/office/drawing/2014/main" id="{00000000-0008-0000-0000-000012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38</xdr:row>
          <xdr:rowOff>142875</xdr:rowOff>
        </xdr:from>
        <xdr:to>
          <xdr:col>5</xdr:col>
          <xdr:colOff>85725</xdr:colOff>
          <xdr:row>40</xdr:row>
          <xdr:rowOff>28575</xdr:rowOff>
        </xdr:to>
        <xdr:sp macro="" textlink="">
          <xdr:nvSpPr>
            <xdr:cNvPr id="543763" name="Check Box 19" hidden="1">
              <a:extLst>
                <a:ext uri="{63B3BB69-23CF-44E3-9099-C40C66FF867C}">
                  <a14:compatExt spid="_x0000_s543763"/>
                </a:ext>
                <a:ext uri="{FF2B5EF4-FFF2-40B4-BE49-F238E27FC236}">
                  <a16:creationId xmlns:a16="http://schemas.microsoft.com/office/drawing/2014/main" id="{00000000-0008-0000-0000-000013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39</xdr:row>
          <xdr:rowOff>142875</xdr:rowOff>
        </xdr:from>
        <xdr:to>
          <xdr:col>5</xdr:col>
          <xdr:colOff>85725</xdr:colOff>
          <xdr:row>41</xdr:row>
          <xdr:rowOff>28575</xdr:rowOff>
        </xdr:to>
        <xdr:sp macro="" textlink="">
          <xdr:nvSpPr>
            <xdr:cNvPr id="543764" name="Check Box 20" hidden="1">
              <a:extLst>
                <a:ext uri="{63B3BB69-23CF-44E3-9099-C40C66FF867C}">
                  <a14:compatExt spid="_x0000_s543764"/>
                </a:ext>
                <a:ext uri="{FF2B5EF4-FFF2-40B4-BE49-F238E27FC236}">
                  <a16:creationId xmlns:a16="http://schemas.microsoft.com/office/drawing/2014/main" id="{00000000-0008-0000-0000-000014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40</xdr:row>
          <xdr:rowOff>142875</xdr:rowOff>
        </xdr:from>
        <xdr:to>
          <xdr:col>5</xdr:col>
          <xdr:colOff>85725</xdr:colOff>
          <xdr:row>42</xdr:row>
          <xdr:rowOff>28575</xdr:rowOff>
        </xdr:to>
        <xdr:sp macro="" textlink="">
          <xdr:nvSpPr>
            <xdr:cNvPr id="543765" name="Check Box 21" hidden="1">
              <a:extLst>
                <a:ext uri="{63B3BB69-23CF-44E3-9099-C40C66FF867C}">
                  <a14:compatExt spid="_x0000_s543765"/>
                </a:ext>
                <a:ext uri="{FF2B5EF4-FFF2-40B4-BE49-F238E27FC236}">
                  <a16:creationId xmlns:a16="http://schemas.microsoft.com/office/drawing/2014/main" id="{00000000-0008-0000-0000-000015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41</xdr:row>
          <xdr:rowOff>123825</xdr:rowOff>
        </xdr:from>
        <xdr:to>
          <xdr:col>5</xdr:col>
          <xdr:colOff>85725</xdr:colOff>
          <xdr:row>43</xdr:row>
          <xdr:rowOff>9525</xdr:rowOff>
        </xdr:to>
        <xdr:sp macro="" textlink="">
          <xdr:nvSpPr>
            <xdr:cNvPr id="543766" name="Check Box 22" hidden="1">
              <a:extLst>
                <a:ext uri="{63B3BB69-23CF-44E3-9099-C40C66FF867C}">
                  <a14:compatExt spid="_x0000_s543766"/>
                </a:ext>
                <a:ext uri="{FF2B5EF4-FFF2-40B4-BE49-F238E27FC236}">
                  <a16:creationId xmlns:a16="http://schemas.microsoft.com/office/drawing/2014/main" id="{00000000-0008-0000-0000-000016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42</xdr:row>
          <xdr:rowOff>142875</xdr:rowOff>
        </xdr:from>
        <xdr:to>
          <xdr:col>5</xdr:col>
          <xdr:colOff>85725</xdr:colOff>
          <xdr:row>44</xdr:row>
          <xdr:rowOff>28575</xdr:rowOff>
        </xdr:to>
        <xdr:sp macro="" textlink="">
          <xdr:nvSpPr>
            <xdr:cNvPr id="543767" name="Check Box 23" hidden="1">
              <a:extLst>
                <a:ext uri="{63B3BB69-23CF-44E3-9099-C40C66FF867C}">
                  <a14:compatExt spid="_x0000_s543767"/>
                </a:ext>
                <a:ext uri="{FF2B5EF4-FFF2-40B4-BE49-F238E27FC236}">
                  <a16:creationId xmlns:a16="http://schemas.microsoft.com/office/drawing/2014/main" id="{00000000-0008-0000-0000-000017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43</xdr:row>
          <xdr:rowOff>142875</xdr:rowOff>
        </xdr:from>
        <xdr:to>
          <xdr:col>5</xdr:col>
          <xdr:colOff>85725</xdr:colOff>
          <xdr:row>45</xdr:row>
          <xdr:rowOff>28575</xdr:rowOff>
        </xdr:to>
        <xdr:sp macro="" textlink="">
          <xdr:nvSpPr>
            <xdr:cNvPr id="543768" name="Check Box 24" hidden="1">
              <a:extLst>
                <a:ext uri="{63B3BB69-23CF-44E3-9099-C40C66FF867C}">
                  <a14:compatExt spid="_x0000_s543768"/>
                </a:ext>
                <a:ext uri="{FF2B5EF4-FFF2-40B4-BE49-F238E27FC236}">
                  <a16:creationId xmlns:a16="http://schemas.microsoft.com/office/drawing/2014/main" id="{00000000-0008-0000-0000-000018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44</xdr:row>
          <xdr:rowOff>142875</xdr:rowOff>
        </xdr:from>
        <xdr:to>
          <xdr:col>5</xdr:col>
          <xdr:colOff>85725</xdr:colOff>
          <xdr:row>46</xdr:row>
          <xdr:rowOff>9525</xdr:rowOff>
        </xdr:to>
        <xdr:sp macro="" textlink="">
          <xdr:nvSpPr>
            <xdr:cNvPr id="543769" name="Check Box 25" hidden="1">
              <a:extLst>
                <a:ext uri="{63B3BB69-23CF-44E3-9099-C40C66FF867C}">
                  <a14:compatExt spid="_x0000_s543769"/>
                </a:ext>
                <a:ext uri="{FF2B5EF4-FFF2-40B4-BE49-F238E27FC236}">
                  <a16:creationId xmlns:a16="http://schemas.microsoft.com/office/drawing/2014/main" id="{00000000-0008-0000-0000-000019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46</xdr:row>
          <xdr:rowOff>142875</xdr:rowOff>
        </xdr:from>
        <xdr:to>
          <xdr:col>5</xdr:col>
          <xdr:colOff>85725</xdr:colOff>
          <xdr:row>48</xdr:row>
          <xdr:rowOff>9525</xdr:rowOff>
        </xdr:to>
        <xdr:sp macro="" textlink="">
          <xdr:nvSpPr>
            <xdr:cNvPr id="543770" name="Check Box 26" hidden="1">
              <a:extLst>
                <a:ext uri="{63B3BB69-23CF-44E3-9099-C40C66FF867C}">
                  <a14:compatExt spid="_x0000_s543770"/>
                </a:ext>
                <a:ext uri="{FF2B5EF4-FFF2-40B4-BE49-F238E27FC236}">
                  <a16:creationId xmlns:a16="http://schemas.microsoft.com/office/drawing/2014/main" id="{00000000-0008-0000-0000-00001A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47</xdr:row>
          <xdr:rowOff>142875</xdr:rowOff>
        </xdr:from>
        <xdr:to>
          <xdr:col>5</xdr:col>
          <xdr:colOff>85725</xdr:colOff>
          <xdr:row>49</xdr:row>
          <xdr:rowOff>28575</xdr:rowOff>
        </xdr:to>
        <xdr:sp macro="" textlink="">
          <xdr:nvSpPr>
            <xdr:cNvPr id="543771" name="Check Box 27" hidden="1">
              <a:extLst>
                <a:ext uri="{63B3BB69-23CF-44E3-9099-C40C66FF867C}">
                  <a14:compatExt spid="_x0000_s543771"/>
                </a:ext>
                <a:ext uri="{FF2B5EF4-FFF2-40B4-BE49-F238E27FC236}">
                  <a16:creationId xmlns:a16="http://schemas.microsoft.com/office/drawing/2014/main" id="{00000000-0008-0000-0000-00001B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48</xdr:row>
          <xdr:rowOff>142875</xdr:rowOff>
        </xdr:from>
        <xdr:to>
          <xdr:col>5</xdr:col>
          <xdr:colOff>85725</xdr:colOff>
          <xdr:row>50</xdr:row>
          <xdr:rowOff>28575</xdr:rowOff>
        </xdr:to>
        <xdr:sp macro="" textlink="">
          <xdr:nvSpPr>
            <xdr:cNvPr id="543772" name="Check Box 28" hidden="1">
              <a:extLst>
                <a:ext uri="{63B3BB69-23CF-44E3-9099-C40C66FF867C}">
                  <a14:compatExt spid="_x0000_s543772"/>
                </a:ext>
                <a:ext uri="{FF2B5EF4-FFF2-40B4-BE49-F238E27FC236}">
                  <a16:creationId xmlns:a16="http://schemas.microsoft.com/office/drawing/2014/main" id="{00000000-0008-0000-0000-00001C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49</xdr:row>
          <xdr:rowOff>123825</xdr:rowOff>
        </xdr:from>
        <xdr:to>
          <xdr:col>5</xdr:col>
          <xdr:colOff>85725</xdr:colOff>
          <xdr:row>51</xdr:row>
          <xdr:rowOff>28575</xdr:rowOff>
        </xdr:to>
        <xdr:sp macro="" textlink="">
          <xdr:nvSpPr>
            <xdr:cNvPr id="543773" name="Check Box 29" hidden="1">
              <a:extLst>
                <a:ext uri="{63B3BB69-23CF-44E3-9099-C40C66FF867C}">
                  <a14:compatExt spid="_x0000_s543773"/>
                </a:ext>
                <a:ext uri="{FF2B5EF4-FFF2-40B4-BE49-F238E27FC236}">
                  <a16:creationId xmlns:a16="http://schemas.microsoft.com/office/drawing/2014/main" id="{00000000-0008-0000-0000-00001D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50</xdr:row>
          <xdr:rowOff>142875</xdr:rowOff>
        </xdr:from>
        <xdr:to>
          <xdr:col>5</xdr:col>
          <xdr:colOff>85725</xdr:colOff>
          <xdr:row>52</xdr:row>
          <xdr:rowOff>28575</xdr:rowOff>
        </xdr:to>
        <xdr:sp macro="" textlink="">
          <xdr:nvSpPr>
            <xdr:cNvPr id="543774" name="Check Box 30" hidden="1">
              <a:extLst>
                <a:ext uri="{63B3BB69-23CF-44E3-9099-C40C66FF867C}">
                  <a14:compatExt spid="_x0000_s543774"/>
                </a:ext>
                <a:ext uri="{FF2B5EF4-FFF2-40B4-BE49-F238E27FC236}">
                  <a16:creationId xmlns:a16="http://schemas.microsoft.com/office/drawing/2014/main" id="{00000000-0008-0000-0000-00001E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51</xdr:row>
          <xdr:rowOff>142875</xdr:rowOff>
        </xdr:from>
        <xdr:to>
          <xdr:col>5</xdr:col>
          <xdr:colOff>85725</xdr:colOff>
          <xdr:row>53</xdr:row>
          <xdr:rowOff>28575</xdr:rowOff>
        </xdr:to>
        <xdr:sp macro="" textlink="">
          <xdr:nvSpPr>
            <xdr:cNvPr id="543775" name="Check Box 31" hidden="1">
              <a:extLst>
                <a:ext uri="{63B3BB69-23CF-44E3-9099-C40C66FF867C}">
                  <a14:compatExt spid="_x0000_s543775"/>
                </a:ext>
                <a:ext uri="{FF2B5EF4-FFF2-40B4-BE49-F238E27FC236}">
                  <a16:creationId xmlns:a16="http://schemas.microsoft.com/office/drawing/2014/main" id="{00000000-0008-0000-0000-00001F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53</xdr:row>
          <xdr:rowOff>142875</xdr:rowOff>
        </xdr:from>
        <xdr:to>
          <xdr:col>5</xdr:col>
          <xdr:colOff>85725</xdr:colOff>
          <xdr:row>55</xdr:row>
          <xdr:rowOff>28575</xdr:rowOff>
        </xdr:to>
        <xdr:sp macro="" textlink="">
          <xdr:nvSpPr>
            <xdr:cNvPr id="543776" name="Check Box 32" hidden="1">
              <a:extLst>
                <a:ext uri="{63B3BB69-23CF-44E3-9099-C40C66FF867C}">
                  <a14:compatExt spid="_x0000_s543776"/>
                </a:ext>
                <a:ext uri="{FF2B5EF4-FFF2-40B4-BE49-F238E27FC236}">
                  <a16:creationId xmlns:a16="http://schemas.microsoft.com/office/drawing/2014/main" id="{00000000-0008-0000-0000-000020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54</xdr:row>
          <xdr:rowOff>123825</xdr:rowOff>
        </xdr:from>
        <xdr:to>
          <xdr:col>5</xdr:col>
          <xdr:colOff>85725</xdr:colOff>
          <xdr:row>56</xdr:row>
          <xdr:rowOff>28575</xdr:rowOff>
        </xdr:to>
        <xdr:sp macro="" textlink="">
          <xdr:nvSpPr>
            <xdr:cNvPr id="543777" name="Check Box 33" hidden="1">
              <a:extLst>
                <a:ext uri="{63B3BB69-23CF-44E3-9099-C40C66FF867C}">
                  <a14:compatExt spid="_x0000_s543777"/>
                </a:ext>
                <a:ext uri="{FF2B5EF4-FFF2-40B4-BE49-F238E27FC236}">
                  <a16:creationId xmlns:a16="http://schemas.microsoft.com/office/drawing/2014/main" id="{00000000-0008-0000-0000-000021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55</xdr:row>
          <xdr:rowOff>142875</xdr:rowOff>
        </xdr:from>
        <xdr:to>
          <xdr:col>5</xdr:col>
          <xdr:colOff>85725</xdr:colOff>
          <xdr:row>57</xdr:row>
          <xdr:rowOff>28575</xdr:rowOff>
        </xdr:to>
        <xdr:sp macro="" textlink="">
          <xdr:nvSpPr>
            <xdr:cNvPr id="543778" name="Check Box 34" hidden="1">
              <a:extLst>
                <a:ext uri="{63B3BB69-23CF-44E3-9099-C40C66FF867C}">
                  <a14:compatExt spid="_x0000_s543778"/>
                </a:ext>
                <a:ext uri="{FF2B5EF4-FFF2-40B4-BE49-F238E27FC236}">
                  <a16:creationId xmlns:a16="http://schemas.microsoft.com/office/drawing/2014/main" id="{00000000-0008-0000-0000-000022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56</xdr:row>
          <xdr:rowOff>142875</xdr:rowOff>
        </xdr:from>
        <xdr:to>
          <xdr:col>5</xdr:col>
          <xdr:colOff>85725</xdr:colOff>
          <xdr:row>58</xdr:row>
          <xdr:rowOff>28575</xdr:rowOff>
        </xdr:to>
        <xdr:sp macro="" textlink="">
          <xdr:nvSpPr>
            <xdr:cNvPr id="543779" name="Check Box 35" hidden="1">
              <a:extLst>
                <a:ext uri="{63B3BB69-23CF-44E3-9099-C40C66FF867C}">
                  <a14:compatExt spid="_x0000_s543779"/>
                </a:ext>
                <a:ext uri="{FF2B5EF4-FFF2-40B4-BE49-F238E27FC236}">
                  <a16:creationId xmlns:a16="http://schemas.microsoft.com/office/drawing/2014/main" id="{00000000-0008-0000-0000-000023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57</xdr:row>
          <xdr:rowOff>142875</xdr:rowOff>
        </xdr:from>
        <xdr:to>
          <xdr:col>5</xdr:col>
          <xdr:colOff>85725</xdr:colOff>
          <xdr:row>59</xdr:row>
          <xdr:rowOff>28575</xdr:rowOff>
        </xdr:to>
        <xdr:sp macro="" textlink="">
          <xdr:nvSpPr>
            <xdr:cNvPr id="543780" name="Check Box 36" hidden="1">
              <a:extLst>
                <a:ext uri="{63B3BB69-23CF-44E3-9099-C40C66FF867C}">
                  <a14:compatExt spid="_x0000_s543780"/>
                </a:ext>
                <a:ext uri="{FF2B5EF4-FFF2-40B4-BE49-F238E27FC236}">
                  <a16:creationId xmlns:a16="http://schemas.microsoft.com/office/drawing/2014/main" id="{00000000-0008-0000-0000-000024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714375</xdr:colOff>
          <xdr:row>53</xdr:row>
          <xdr:rowOff>142875</xdr:rowOff>
        </xdr:from>
        <xdr:to>
          <xdr:col>7</xdr:col>
          <xdr:colOff>314325</xdr:colOff>
          <xdr:row>55</xdr:row>
          <xdr:rowOff>28575</xdr:rowOff>
        </xdr:to>
        <xdr:sp macro="" textlink="">
          <xdr:nvSpPr>
            <xdr:cNvPr id="543781" name="Check Box 37" hidden="1">
              <a:extLst>
                <a:ext uri="{63B3BB69-23CF-44E3-9099-C40C66FF867C}">
                  <a14:compatExt spid="_x0000_s543781"/>
                </a:ext>
                <a:ext uri="{FF2B5EF4-FFF2-40B4-BE49-F238E27FC236}">
                  <a16:creationId xmlns:a16="http://schemas.microsoft.com/office/drawing/2014/main" id="{00000000-0008-0000-0000-000025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714375</xdr:colOff>
          <xdr:row>54</xdr:row>
          <xdr:rowOff>142875</xdr:rowOff>
        </xdr:from>
        <xdr:to>
          <xdr:col>7</xdr:col>
          <xdr:colOff>314325</xdr:colOff>
          <xdr:row>56</xdr:row>
          <xdr:rowOff>28575</xdr:rowOff>
        </xdr:to>
        <xdr:sp macro="" textlink="">
          <xdr:nvSpPr>
            <xdr:cNvPr id="543782" name="Check Box 38" hidden="1">
              <a:extLst>
                <a:ext uri="{63B3BB69-23CF-44E3-9099-C40C66FF867C}">
                  <a14:compatExt spid="_x0000_s543782"/>
                </a:ext>
                <a:ext uri="{FF2B5EF4-FFF2-40B4-BE49-F238E27FC236}">
                  <a16:creationId xmlns:a16="http://schemas.microsoft.com/office/drawing/2014/main" id="{00000000-0008-0000-0000-000026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714375</xdr:colOff>
          <xdr:row>55</xdr:row>
          <xdr:rowOff>123825</xdr:rowOff>
        </xdr:from>
        <xdr:to>
          <xdr:col>7</xdr:col>
          <xdr:colOff>314325</xdr:colOff>
          <xdr:row>57</xdr:row>
          <xdr:rowOff>28575</xdr:rowOff>
        </xdr:to>
        <xdr:sp macro="" textlink="">
          <xdr:nvSpPr>
            <xdr:cNvPr id="543783" name="Check Box 39" hidden="1">
              <a:extLst>
                <a:ext uri="{63B3BB69-23CF-44E3-9099-C40C66FF867C}">
                  <a14:compatExt spid="_x0000_s543783"/>
                </a:ext>
                <a:ext uri="{FF2B5EF4-FFF2-40B4-BE49-F238E27FC236}">
                  <a16:creationId xmlns:a16="http://schemas.microsoft.com/office/drawing/2014/main" id="{00000000-0008-0000-0000-000027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714375</xdr:colOff>
          <xdr:row>56</xdr:row>
          <xdr:rowOff>123825</xdr:rowOff>
        </xdr:from>
        <xdr:to>
          <xdr:col>7</xdr:col>
          <xdr:colOff>314325</xdr:colOff>
          <xdr:row>58</xdr:row>
          <xdr:rowOff>28575</xdr:rowOff>
        </xdr:to>
        <xdr:sp macro="" textlink="">
          <xdr:nvSpPr>
            <xdr:cNvPr id="543784" name="Check Box 40" hidden="1">
              <a:extLst>
                <a:ext uri="{63B3BB69-23CF-44E3-9099-C40C66FF867C}">
                  <a14:compatExt spid="_x0000_s543784"/>
                </a:ext>
                <a:ext uri="{FF2B5EF4-FFF2-40B4-BE49-F238E27FC236}">
                  <a16:creationId xmlns:a16="http://schemas.microsoft.com/office/drawing/2014/main" id="{00000000-0008-0000-0000-000028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714375</xdr:colOff>
          <xdr:row>57</xdr:row>
          <xdr:rowOff>123825</xdr:rowOff>
        </xdr:from>
        <xdr:to>
          <xdr:col>7</xdr:col>
          <xdr:colOff>314325</xdr:colOff>
          <xdr:row>59</xdr:row>
          <xdr:rowOff>28575</xdr:rowOff>
        </xdr:to>
        <xdr:sp macro="" textlink="">
          <xdr:nvSpPr>
            <xdr:cNvPr id="543785" name="Check Box 41" hidden="1">
              <a:extLst>
                <a:ext uri="{63B3BB69-23CF-44E3-9099-C40C66FF867C}">
                  <a14:compatExt spid="_x0000_s543785"/>
                </a:ext>
                <a:ext uri="{FF2B5EF4-FFF2-40B4-BE49-F238E27FC236}">
                  <a16:creationId xmlns:a16="http://schemas.microsoft.com/office/drawing/2014/main" id="{00000000-0008-0000-0000-000029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714375</xdr:colOff>
          <xdr:row>56</xdr:row>
          <xdr:rowOff>123825</xdr:rowOff>
        </xdr:from>
        <xdr:to>
          <xdr:col>7</xdr:col>
          <xdr:colOff>314325</xdr:colOff>
          <xdr:row>58</xdr:row>
          <xdr:rowOff>28575</xdr:rowOff>
        </xdr:to>
        <xdr:sp macro="" textlink="">
          <xdr:nvSpPr>
            <xdr:cNvPr id="543786" name="Check Box 42" hidden="1">
              <a:extLst>
                <a:ext uri="{63B3BB69-23CF-44E3-9099-C40C66FF867C}">
                  <a14:compatExt spid="_x0000_s543786"/>
                </a:ext>
                <a:ext uri="{FF2B5EF4-FFF2-40B4-BE49-F238E27FC236}">
                  <a16:creationId xmlns:a16="http://schemas.microsoft.com/office/drawing/2014/main" id="{00000000-0008-0000-0000-00002A4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3</xdr:col>
      <xdr:colOff>114300</xdr:colOff>
      <xdr:row>3</xdr:row>
      <xdr:rowOff>47625</xdr:rowOff>
    </xdr:from>
    <xdr:to>
      <xdr:col>5</xdr:col>
      <xdr:colOff>1122923</xdr:colOff>
      <xdr:row>5</xdr:row>
      <xdr:rowOff>78092</xdr:rowOff>
    </xdr:to>
    <xdr:pic>
      <xdr:nvPicPr>
        <xdr:cNvPr id="4" name="Bildobjek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4425" y="371475"/>
          <a:ext cx="1484873" cy="2781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36</xdr:row>
          <xdr:rowOff>0</xdr:rowOff>
        </xdr:from>
        <xdr:to>
          <xdr:col>9</xdr:col>
          <xdr:colOff>504825</xdr:colOff>
          <xdr:row>36</xdr:row>
          <xdr:rowOff>219075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36</xdr:row>
          <xdr:rowOff>0</xdr:rowOff>
        </xdr:from>
        <xdr:to>
          <xdr:col>12</xdr:col>
          <xdr:colOff>28575</xdr:colOff>
          <xdr:row>36</xdr:row>
          <xdr:rowOff>219075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1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Nej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22</xdr:row>
          <xdr:rowOff>28575</xdr:rowOff>
        </xdr:from>
        <xdr:to>
          <xdr:col>2</xdr:col>
          <xdr:colOff>152400</xdr:colOff>
          <xdr:row>22</xdr:row>
          <xdr:rowOff>180975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1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Skapa B1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23</xdr:row>
          <xdr:rowOff>28575</xdr:rowOff>
        </xdr:from>
        <xdr:to>
          <xdr:col>2</xdr:col>
          <xdr:colOff>152400</xdr:colOff>
          <xdr:row>23</xdr:row>
          <xdr:rowOff>180975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1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Skapa B2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24</xdr:row>
          <xdr:rowOff>28575</xdr:rowOff>
        </xdr:from>
        <xdr:to>
          <xdr:col>2</xdr:col>
          <xdr:colOff>152400</xdr:colOff>
          <xdr:row>24</xdr:row>
          <xdr:rowOff>180975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1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Skapa B3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25</xdr:row>
          <xdr:rowOff>28575</xdr:rowOff>
        </xdr:from>
        <xdr:to>
          <xdr:col>2</xdr:col>
          <xdr:colOff>152400</xdr:colOff>
          <xdr:row>25</xdr:row>
          <xdr:rowOff>180975</xdr:rowOff>
        </xdr:to>
        <xdr:sp macro="" textlink="">
          <xdr:nvSpPr>
            <xdr:cNvPr id="13350" name="Button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1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Skapa B4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26</xdr:row>
          <xdr:rowOff>28575</xdr:rowOff>
        </xdr:from>
        <xdr:to>
          <xdr:col>2</xdr:col>
          <xdr:colOff>152400</xdr:colOff>
          <xdr:row>26</xdr:row>
          <xdr:rowOff>180975</xdr:rowOff>
        </xdr:to>
        <xdr:sp macro="" textlink="">
          <xdr:nvSpPr>
            <xdr:cNvPr id="13351" name="Button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1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Skapa B5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27</xdr:row>
          <xdr:rowOff>28575</xdr:rowOff>
        </xdr:from>
        <xdr:to>
          <xdr:col>2</xdr:col>
          <xdr:colOff>152400</xdr:colOff>
          <xdr:row>27</xdr:row>
          <xdr:rowOff>190500</xdr:rowOff>
        </xdr:to>
        <xdr:sp macro="" textlink="">
          <xdr:nvSpPr>
            <xdr:cNvPr id="13352" name="Button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1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Skapa B6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28</xdr:row>
          <xdr:rowOff>28575</xdr:rowOff>
        </xdr:from>
        <xdr:to>
          <xdr:col>2</xdr:col>
          <xdr:colOff>152400</xdr:colOff>
          <xdr:row>28</xdr:row>
          <xdr:rowOff>190500</xdr:rowOff>
        </xdr:to>
        <xdr:sp macro="" textlink="">
          <xdr:nvSpPr>
            <xdr:cNvPr id="13353" name="Button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1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Skapa B7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29</xdr:row>
          <xdr:rowOff>28575</xdr:rowOff>
        </xdr:from>
        <xdr:to>
          <xdr:col>2</xdr:col>
          <xdr:colOff>152400</xdr:colOff>
          <xdr:row>29</xdr:row>
          <xdr:rowOff>190500</xdr:rowOff>
        </xdr:to>
        <xdr:sp macro="" textlink="">
          <xdr:nvSpPr>
            <xdr:cNvPr id="13354" name="Button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id="{00000000-0008-0000-01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Skapa B8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30</xdr:row>
          <xdr:rowOff>28575</xdr:rowOff>
        </xdr:from>
        <xdr:to>
          <xdr:col>2</xdr:col>
          <xdr:colOff>152400</xdr:colOff>
          <xdr:row>30</xdr:row>
          <xdr:rowOff>190500</xdr:rowOff>
        </xdr:to>
        <xdr:sp macro="" textlink="">
          <xdr:nvSpPr>
            <xdr:cNvPr id="13355" name="Button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1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Skapa B9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31</xdr:row>
          <xdr:rowOff>28575</xdr:rowOff>
        </xdr:from>
        <xdr:to>
          <xdr:col>2</xdr:col>
          <xdr:colOff>152400</xdr:colOff>
          <xdr:row>31</xdr:row>
          <xdr:rowOff>180975</xdr:rowOff>
        </xdr:to>
        <xdr:sp macro="" textlink="">
          <xdr:nvSpPr>
            <xdr:cNvPr id="13356" name="Button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id="{00000000-0008-0000-01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Skapa B10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32</xdr:row>
          <xdr:rowOff>28575</xdr:rowOff>
        </xdr:from>
        <xdr:to>
          <xdr:col>2</xdr:col>
          <xdr:colOff>152400</xdr:colOff>
          <xdr:row>32</xdr:row>
          <xdr:rowOff>180975</xdr:rowOff>
        </xdr:to>
        <xdr:sp macro="" textlink="">
          <xdr:nvSpPr>
            <xdr:cNvPr id="13357" name="Button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id="{00000000-0008-0000-01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Skapa B11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33</xdr:row>
          <xdr:rowOff>28575</xdr:rowOff>
        </xdr:from>
        <xdr:to>
          <xdr:col>2</xdr:col>
          <xdr:colOff>152400</xdr:colOff>
          <xdr:row>33</xdr:row>
          <xdr:rowOff>180975</xdr:rowOff>
        </xdr:to>
        <xdr:sp macro="" textlink="">
          <xdr:nvSpPr>
            <xdr:cNvPr id="13358" name="Button 46" hidden="1">
              <a:extLst>
                <a:ext uri="{63B3BB69-23CF-44E3-9099-C40C66FF867C}">
                  <a14:compatExt spid="_x0000_s13358"/>
                </a:ext>
                <a:ext uri="{FF2B5EF4-FFF2-40B4-BE49-F238E27FC236}">
                  <a16:creationId xmlns:a16="http://schemas.microsoft.com/office/drawing/2014/main" id="{00000000-0008-0000-0100-00002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Skapa B12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34</xdr:row>
          <xdr:rowOff>28575</xdr:rowOff>
        </xdr:from>
        <xdr:to>
          <xdr:col>2</xdr:col>
          <xdr:colOff>152400</xdr:colOff>
          <xdr:row>34</xdr:row>
          <xdr:rowOff>180975</xdr:rowOff>
        </xdr:to>
        <xdr:sp macro="" textlink="">
          <xdr:nvSpPr>
            <xdr:cNvPr id="13359" name="Button 47" hidden="1">
              <a:extLst>
                <a:ext uri="{63B3BB69-23CF-44E3-9099-C40C66FF867C}">
                  <a14:compatExt spid="_x0000_s13359"/>
                </a:ext>
                <a:ext uri="{FF2B5EF4-FFF2-40B4-BE49-F238E27FC236}">
                  <a16:creationId xmlns:a16="http://schemas.microsoft.com/office/drawing/2014/main" id="{00000000-0008-0000-0100-00002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Skapa B13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22</xdr:row>
          <xdr:rowOff>28575</xdr:rowOff>
        </xdr:from>
        <xdr:to>
          <xdr:col>15</xdr:col>
          <xdr:colOff>533400</xdr:colOff>
          <xdr:row>22</xdr:row>
          <xdr:rowOff>190500</xdr:rowOff>
        </xdr:to>
        <xdr:sp macro="" textlink="">
          <xdr:nvSpPr>
            <xdr:cNvPr id="13368" name="Button 56" hidden="1">
              <a:extLst>
                <a:ext uri="{63B3BB69-23CF-44E3-9099-C40C66FF867C}">
                  <a14:compatExt spid="_x0000_s13368"/>
                </a:ext>
                <a:ext uri="{FF2B5EF4-FFF2-40B4-BE49-F238E27FC236}">
                  <a16:creationId xmlns:a16="http://schemas.microsoft.com/office/drawing/2014/main" id="{00000000-0008-0000-0100-00003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 bort B1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26</xdr:row>
          <xdr:rowOff>28575</xdr:rowOff>
        </xdr:from>
        <xdr:to>
          <xdr:col>15</xdr:col>
          <xdr:colOff>533400</xdr:colOff>
          <xdr:row>26</xdr:row>
          <xdr:rowOff>190500</xdr:rowOff>
        </xdr:to>
        <xdr:sp macro="" textlink="">
          <xdr:nvSpPr>
            <xdr:cNvPr id="13373" name="Button 61" hidden="1">
              <a:extLst>
                <a:ext uri="{63B3BB69-23CF-44E3-9099-C40C66FF867C}">
                  <a14:compatExt spid="_x0000_s13373"/>
                </a:ext>
                <a:ext uri="{FF2B5EF4-FFF2-40B4-BE49-F238E27FC236}">
                  <a16:creationId xmlns:a16="http://schemas.microsoft.com/office/drawing/2014/main" id="{00000000-0008-0000-0100-00003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 bort B5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27</xdr:row>
          <xdr:rowOff>28575</xdr:rowOff>
        </xdr:from>
        <xdr:to>
          <xdr:col>15</xdr:col>
          <xdr:colOff>533400</xdr:colOff>
          <xdr:row>27</xdr:row>
          <xdr:rowOff>190500</xdr:rowOff>
        </xdr:to>
        <xdr:sp macro="" textlink="">
          <xdr:nvSpPr>
            <xdr:cNvPr id="13374" name="Button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id="{00000000-0008-0000-01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 bort B6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28</xdr:row>
          <xdr:rowOff>28575</xdr:rowOff>
        </xdr:from>
        <xdr:to>
          <xdr:col>15</xdr:col>
          <xdr:colOff>533400</xdr:colOff>
          <xdr:row>28</xdr:row>
          <xdr:rowOff>190500</xdr:rowOff>
        </xdr:to>
        <xdr:sp macro="" textlink="">
          <xdr:nvSpPr>
            <xdr:cNvPr id="13375" name="Button 63" hidden="1">
              <a:extLst>
                <a:ext uri="{63B3BB69-23CF-44E3-9099-C40C66FF867C}">
                  <a14:compatExt spid="_x0000_s13375"/>
                </a:ext>
                <a:ext uri="{FF2B5EF4-FFF2-40B4-BE49-F238E27FC236}">
                  <a16:creationId xmlns:a16="http://schemas.microsoft.com/office/drawing/2014/main" id="{00000000-0008-0000-0100-00003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 bort B7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29</xdr:row>
          <xdr:rowOff>28575</xdr:rowOff>
        </xdr:from>
        <xdr:to>
          <xdr:col>15</xdr:col>
          <xdr:colOff>533400</xdr:colOff>
          <xdr:row>29</xdr:row>
          <xdr:rowOff>190500</xdr:rowOff>
        </xdr:to>
        <xdr:sp macro="" textlink="">
          <xdr:nvSpPr>
            <xdr:cNvPr id="13376" name="Button 64" hidden="1">
              <a:extLst>
                <a:ext uri="{63B3BB69-23CF-44E3-9099-C40C66FF867C}">
                  <a14:compatExt spid="_x0000_s13376"/>
                </a:ext>
                <a:ext uri="{FF2B5EF4-FFF2-40B4-BE49-F238E27FC236}">
                  <a16:creationId xmlns:a16="http://schemas.microsoft.com/office/drawing/2014/main" id="{00000000-0008-0000-0100-00004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 bort B8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30</xdr:row>
          <xdr:rowOff>28575</xdr:rowOff>
        </xdr:from>
        <xdr:to>
          <xdr:col>15</xdr:col>
          <xdr:colOff>533400</xdr:colOff>
          <xdr:row>30</xdr:row>
          <xdr:rowOff>190500</xdr:rowOff>
        </xdr:to>
        <xdr:sp macro="" textlink="">
          <xdr:nvSpPr>
            <xdr:cNvPr id="13377" name="Button 65" hidden="1">
              <a:extLst>
                <a:ext uri="{63B3BB69-23CF-44E3-9099-C40C66FF867C}">
                  <a14:compatExt spid="_x0000_s13377"/>
                </a:ext>
                <a:ext uri="{FF2B5EF4-FFF2-40B4-BE49-F238E27FC236}">
                  <a16:creationId xmlns:a16="http://schemas.microsoft.com/office/drawing/2014/main" id="{00000000-0008-0000-0100-00004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 bort B9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31</xdr:row>
          <xdr:rowOff>28575</xdr:rowOff>
        </xdr:from>
        <xdr:to>
          <xdr:col>15</xdr:col>
          <xdr:colOff>533400</xdr:colOff>
          <xdr:row>31</xdr:row>
          <xdr:rowOff>190500</xdr:rowOff>
        </xdr:to>
        <xdr:sp macro="" textlink="">
          <xdr:nvSpPr>
            <xdr:cNvPr id="13378" name="Button 66" hidden="1">
              <a:extLst>
                <a:ext uri="{63B3BB69-23CF-44E3-9099-C40C66FF867C}">
                  <a14:compatExt spid="_x0000_s13378"/>
                </a:ext>
                <a:ext uri="{FF2B5EF4-FFF2-40B4-BE49-F238E27FC236}">
                  <a16:creationId xmlns:a16="http://schemas.microsoft.com/office/drawing/2014/main" id="{00000000-0008-0000-0100-00004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 bort B10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32</xdr:row>
          <xdr:rowOff>28575</xdr:rowOff>
        </xdr:from>
        <xdr:to>
          <xdr:col>15</xdr:col>
          <xdr:colOff>533400</xdr:colOff>
          <xdr:row>32</xdr:row>
          <xdr:rowOff>190500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id="{00000000-0008-0000-01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 bort B11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33</xdr:row>
          <xdr:rowOff>28575</xdr:rowOff>
        </xdr:from>
        <xdr:to>
          <xdr:col>15</xdr:col>
          <xdr:colOff>533400</xdr:colOff>
          <xdr:row>33</xdr:row>
          <xdr:rowOff>190500</xdr:rowOff>
        </xdr:to>
        <xdr:sp macro="" textlink="">
          <xdr:nvSpPr>
            <xdr:cNvPr id="13380" name="Button 68" hidden="1">
              <a:extLst>
                <a:ext uri="{63B3BB69-23CF-44E3-9099-C40C66FF867C}">
                  <a14:compatExt spid="_x0000_s13380"/>
                </a:ext>
                <a:ext uri="{FF2B5EF4-FFF2-40B4-BE49-F238E27FC236}">
                  <a16:creationId xmlns:a16="http://schemas.microsoft.com/office/drawing/2014/main" id="{00000000-0008-0000-0100-00004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 bort B12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34</xdr:row>
          <xdr:rowOff>28575</xdr:rowOff>
        </xdr:from>
        <xdr:to>
          <xdr:col>15</xdr:col>
          <xdr:colOff>533400</xdr:colOff>
          <xdr:row>34</xdr:row>
          <xdr:rowOff>190500</xdr:rowOff>
        </xdr:to>
        <xdr:sp macro="" textlink="">
          <xdr:nvSpPr>
            <xdr:cNvPr id="13381" name="Button 69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id="{00000000-0008-0000-01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 bort B13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23</xdr:row>
          <xdr:rowOff>28575</xdr:rowOff>
        </xdr:from>
        <xdr:to>
          <xdr:col>15</xdr:col>
          <xdr:colOff>533400</xdr:colOff>
          <xdr:row>23</xdr:row>
          <xdr:rowOff>190500</xdr:rowOff>
        </xdr:to>
        <xdr:sp macro="" textlink="">
          <xdr:nvSpPr>
            <xdr:cNvPr id="13382" name="Button 70" hidden="1">
              <a:extLst>
                <a:ext uri="{63B3BB69-23CF-44E3-9099-C40C66FF867C}">
                  <a14:compatExt spid="_x0000_s13382"/>
                </a:ext>
                <a:ext uri="{FF2B5EF4-FFF2-40B4-BE49-F238E27FC236}">
                  <a16:creationId xmlns:a16="http://schemas.microsoft.com/office/drawing/2014/main" id="{00000000-0008-0000-0100-00004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 bort B2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24</xdr:row>
          <xdr:rowOff>28575</xdr:rowOff>
        </xdr:from>
        <xdr:to>
          <xdr:col>15</xdr:col>
          <xdr:colOff>533400</xdr:colOff>
          <xdr:row>24</xdr:row>
          <xdr:rowOff>190500</xdr:rowOff>
        </xdr:to>
        <xdr:sp macro="" textlink="">
          <xdr:nvSpPr>
            <xdr:cNvPr id="13383" name="Button 71" hidden="1">
              <a:extLst>
                <a:ext uri="{63B3BB69-23CF-44E3-9099-C40C66FF867C}">
                  <a14:compatExt spid="_x0000_s13383"/>
                </a:ext>
                <a:ext uri="{FF2B5EF4-FFF2-40B4-BE49-F238E27FC236}">
                  <a16:creationId xmlns:a16="http://schemas.microsoft.com/office/drawing/2014/main" id="{00000000-0008-0000-0100-00004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 bort B3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25</xdr:row>
          <xdr:rowOff>28575</xdr:rowOff>
        </xdr:from>
        <xdr:to>
          <xdr:col>15</xdr:col>
          <xdr:colOff>533400</xdr:colOff>
          <xdr:row>25</xdr:row>
          <xdr:rowOff>190500</xdr:rowOff>
        </xdr:to>
        <xdr:sp macro="" textlink="">
          <xdr:nvSpPr>
            <xdr:cNvPr id="13384" name="Button 72" hidden="1">
              <a:extLst>
                <a:ext uri="{63B3BB69-23CF-44E3-9099-C40C66FF867C}">
                  <a14:compatExt spid="_x0000_s13384"/>
                </a:ext>
                <a:ext uri="{FF2B5EF4-FFF2-40B4-BE49-F238E27FC236}">
                  <a16:creationId xmlns:a16="http://schemas.microsoft.com/office/drawing/2014/main" id="{00000000-0008-0000-0100-00004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 bort B4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219075</xdr:colOff>
      <xdr:row>4</xdr:row>
      <xdr:rowOff>0</xdr:rowOff>
    </xdr:from>
    <xdr:to>
      <xdr:col>16</xdr:col>
      <xdr:colOff>504825</xdr:colOff>
      <xdr:row>7</xdr:row>
      <xdr:rowOff>123825</xdr:rowOff>
    </xdr:to>
    <xdr:grpSp>
      <xdr:nvGrpSpPr>
        <xdr:cNvPr id="2" name="Grup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7655379" y="435429"/>
          <a:ext cx="898071" cy="858610"/>
          <a:chOff x="7810500" y="142875"/>
          <a:chExt cx="777240" cy="952501"/>
        </a:xfrm>
      </xdr:grpSpPr>
      <xdr:pic macro="[0]!PrintToPDF">
        <xdr:nvPicPr>
          <xdr:cNvPr id="3" name="Bild 2" descr="Skrivare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810500" y="142875"/>
            <a:ext cx="777240" cy="782955"/>
          </a:xfrm>
          <a:prstGeom prst="rect">
            <a:avLst/>
          </a:prstGeom>
        </xdr:spPr>
      </xdr:pic>
      <xdr:sp macro="[0]!PrintToPDF" textlink="">
        <xdr:nvSpPr>
          <xdr:cNvPr id="38" name="Rektangel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/>
        </xdr:nvSpPr>
        <xdr:spPr>
          <a:xfrm>
            <a:off x="7924800" y="790576"/>
            <a:ext cx="561975" cy="30480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07000"/>
              </a:lnSpc>
              <a:spcAft>
                <a:spcPts val="800"/>
              </a:spcAft>
            </a:pPr>
            <a:r>
              <a:rPr lang="sv-SE" sz="1200">
                <a:solidFill>
                  <a:srgbClr val="FF0000"/>
                </a:solidFill>
                <a:effectLst/>
                <a:ea typeface="Calibri" panose="020F0502020204030204" pitchFamily="34" charset="0"/>
                <a:cs typeface="Times New Roman" panose="02020603050405020304" pitchFamily="18" charset="0"/>
              </a:rPr>
              <a:t>PDF</a:t>
            </a:r>
            <a:endParaRPr lang="sv-SE" sz="1200">
              <a:effectLst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oneCell">
    <xdr:from>
      <xdr:col>2</xdr:col>
      <xdr:colOff>145415</xdr:colOff>
      <xdr:row>1</xdr:row>
      <xdr:rowOff>78038</xdr:rowOff>
    </xdr:from>
    <xdr:to>
      <xdr:col>4</xdr:col>
      <xdr:colOff>75565</xdr:colOff>
      <xdr:row>5</xdr:row>
      <xdr:rowOff>49944</xdr:rowOff>
    </xdr:to>
    <xdr:pic>
      <xdr:nvPicPr>
        <xdr:cNvPr id="5" name="Bildobjek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115" y="185988"/>
          <a:ext cx="1092200" cy="581506"/>
        </a:xfrm>
        <a:prstGeom prst="rect">
          <a:avLst/>
        </a:prstGeom>
      </xdr:spPr>
    </xdr:pic>
    <xdr:clientData/>
  </xdr:twoCellAnchor>
  <xdr:twoCellAnchor editAs="oneCell">
    <xdr:from>
      <xdr:col>4</xdr:col>
      <xdr:colOff>127000</xdr:colOff>
      <xdr:row>3</xdr:row>
      <xdr:rowOff>82472</xdr:rowOff>
    </xdr:from>
    <xdr:to>
      <xdr:col>6</xdr:col>
      <xdr:colOff>414445</xdr:colOff>
      <xdr:row>4</xdr:row>
      <xdr:rowOff>238124</xdr:rowOff>
    </xdr:to>
    <xdr:pic>
      <xdr:nvPicPr>
        <xdr:cNvPr id="6" name="Bildobjek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57161" y="395436"/>
          <a:ext cx="1484873" cy="27811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243841</xdr:colOff>
      <xdr:row>2</xdr:row>
      <xdr:rowOff>114299</xdr:rowOff>
    </xdr:from>
    <xdr:to>
      <xdr:col>11</xdr:col>
      <xdr:colOff>76571</xdr:colOff>
      <xdr:row>6</xdr:row>
      <xdr:rowOff>1031</xdr:rowOff>
    </xdr:to>
    <xdr:pic>
      <xdr:nvPicPr>
        <xdr:cNvPr id="4" name="Bildobjek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3816" y="409574"/>
          <a:ext cx="1813930" cy="9630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</xdr:colOff>
      <xdr:row>46</xdr:row>
      <xdr:rowOff>167640</xdr:rowOff>
    </xdr:from>
    <xdr:to>
      <xdr:col>8</xdr:col>
      <xdr:colOff>0</xdr:colOff>
      <xdr:row>46</xdr:row>
      <xdr:rowOff>167640</xdr:rowOff>
    </xdr:to>
    <xdr:sp macro="" textlink="">
      <xdr:nvSpPr>
        <xdr:cNvPr id="84082" name="Line 1">
          <a:extLst>
            <a:ext uri="{FF2B5EF4-FFF2-40B4-BE49-F238E27FC236}">
              <a16:creationId xmlns:a16="http://schemas.microsoft.com/office/drawing/2014/main" id="{00000000-0008-0000-0300-000072480100}"/>
            </a:ext>
          </a:extLst>
        </xdr:cNvPr>
        <xdr:cNvSpPr>
          <a:spLocks noChangeShapeType="1"/>
        </xdr:cNvSpPr>
      </xdr:nvSpPr>
      <xdr:spPr bwMode="auto">
        <a:xfrm>
          <a:off x="1021080" y="10683240"/>
          <a:ext cx="173736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104775</xdr:colOff>
          <xdr:row>5</xdr:row>
          <xdr:rowOff>152400</xdr:rowOff>
        </xdr:from>
        <xdr:to>
          <xdr:col>22</xdr:col>
          <xdr:colOff>104775</xdr:colOff>
          <xdr:row>7</xdr:row>
          <xdr:rowOff>28575</xdr:rowOff>
        </xdr:to>
        <xdr:sp macro="" textlink="">
          <xdr:nvSpPr>
            <xdr:cNvPr id="83970" name="Check Box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03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180975</xdr:colOff>
          <xdr:row>5</xdr:row>
          <xdr:rowOff>152400</xdr:rowOff>
        </xdr:from>
        <xdr:to>
          <xdr:col>21</xdr:col>
          <xdr:colOff>28575</xdr:colOff>
          <xdr:row>7</xdr:row>
          <xdr:rowOff>28575</xdr:rowOff>
        </xdr:to>
        <xdr:sp macro="" textlink="">
          <xdr:nvSpPr>
            <xdr:cNvPr id="83971" name="Check Box 3" hidden="1">
              <a:extLst>
                <a:ext uri="{63B3BB69-23CF-44E3-9099-C40C66FF867C}">
                  <a14:compatExt spid="_x0000_s83971"/>
                </a:ext>
                <a:ext uri="{FF2B5EF4-FFF2-40B4-BE49-F238E27FC236}">
                  <a16:creationId xmlns:a16="http://schemas.microsoft.com/office/drawing/2014/main" id="{00000000-0008-0000-0300-00000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50</xdr:row>
          <xdr:rowOff>142875</xdr:rowOff>
        </xdr:from>
        <xdr:to>
          <xdr:col>7</xdr:col>
          <xdr:colOff>409575</xdr:colOff>
          <xdr:row>53</xdr:row>
          <xdr:rowOff>104775</xdr:rowOff>
        </xdr:to>
        <xdr:sp macro="" textlink="">
          <xdr:nvSpPr>
            <xdr:cNvPr id="162818" name="Object 2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:a16="http://schemas.microsoft.com/office/drawing/2014/main" id="{00000000-0008-0000-0400-00000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</xdr:colOff>
      <xdr:row>50</xdr:row>
      <xdr:rowOff>167640</xdr:rowOff>
    </xdr:from>
    <xdr:to>
      <xdr:col>8</xdr:col>
      <xdr:colOff>0</xdr:colOff>
      <xdr:row>50</xdr:row>
      <xdr:rowOff>167640</xdr:rowOff>
    </xdr:to>
    <xdr:sp macro="" textlink="">
      <xdr:nvSpPr>
        <xdr:cNvPr id="531501" name="Line 1">
          <a:extLst>
            <a:ext uri="{FF2B5EF4-FFF2-40B4-BE49-F238E27FC236}">
              <a16:creationId xmlns:a16="http://schemas.microsoft.com/office/drawing/2014/main" id="{00000000-0008-0000-0500-00002D1C0800}"/>
            </a:ext>
          </a:extLst>
        </xdr:cNvPr>
        <xdr:cNvSpPr>
          <a:spLocks noChangeShapeType="1"/>
        </xdr:cNvSpPr>
      </xdr:nvSpPr>
      <xdr:spPr bwMode="auto">
        <a:xfrm>
          <a:off x="1021080" y="10683240"/>
          <a:ext cx="173736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200769</xdr:colOff>
      <xdr:row>2</xdr:row>
      <xdr:rowOff>9525</xdr:rowOff>
    </xdr:from>
    <xdr:to>
      <xdr:col>11</xdr:col>
      <xdr:colOff>66674</xdr:colOff>
      <xdr:row>5</xdr:row>
      <xdr:rowOff>64770</xdr:rowOff>
    </xdr:to>
    <xdr:pic>
      <xdr:nvPicPr>
        <xdr:cNvPr id="3" name="Bildobjek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4" y="304800"/>
          <a:ext cx="1847105" cy="96012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11</xdr:row>
      <xdr:rowOff>144780</xdr:rowOff>
    </xdr:from>
    <xdr:to>
      <xdr:col>12</xdr:col>
      <xdr:colOff>38100</xdr:colOff>
      <xdr:row>11</xdr:row>
      <xdr:rowOff>144780</xdr:rowOff>
    </xdr:to>
    <xdr:sp macro="" textlink="">
      <xdr:nvSpPr>
        <xdr:cNvPr id="214122" name="Line 1">
          <a:extLst>
            <a:ext uri="{FF2B5EF4-FFF2-40B4-BE49-F238E27FC236}">
              <a16:creationId xmlns:a16="http://schemas.microsoft.com/office/drawing/2014/main" id="{00000000-0008-0000-0900-00006A440300}"/>
            </a:ext>
          </a:extLst>
        </xdr:cNvPr>
        <xdr:cNvSpPr>
          <a:spLocks noChangeShapeType="1"/>
        </xdr:cNvSpPr>
      </xdr:nvSpPr>
      <xdr:spPr bwMode="auto">
        <a:xfrm>
          <a:off x="952500" y="1805940"/>
          <a:ext cx="53568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171450</xdr:colOff>
      <xdr:row>1</xdr:row>
      <xdr:rowOff>82798</xdr:rowOff>
    </xdr:from>
    <xdr:to>
      <xdr:col>11</xdr:col>
      <xdr:colOff>100966</xdr:colOff>
      <xdr:row>5</xdr:row>
      <xdr:rowOff>85734</xdr:rowOff>
    </xdr:to>
    <xdr:pic>
      <xdr:nvPicPr>
        <xdr:cNvPr id="4" name="Bildobjek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1425" y="282823"/>
          <a:ext cx="1910716" cy="1003061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1" displayName="Tabell1" ref="B5:B40" totalsRowShown="0">
  <autoFilter ref="B5:B40" xr:uid="{00000000-0009-0000-0100-000001000000}"/>
  <tableColumns count="1">
    <tableColumn id="1" xr3:uid="{00000000-0010-0000-0000-000001000000}" name="Po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2" displayName="Tabell2" ref="D5:D9" totalsRowShown="0">
  <autoFilter ref="D5:D9" xr:uid="{00000000-0009-0000-0100-000002000000}"/>
  <tableColumns count="1">
    <tableColumn id="1" xr3:uid="{00000000-0010-0000-0100-000001000000}" name="Utfall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3" displayName="Tabell3" ref="F5:F12" totalsRowShown="0">
  <autoFilter ref="F5:F12" xr:uid="{00000000-0009-0000-0100-000003000000}"/>
  <tableColumns count="1">
    <tableColumn id="1" xr3:uid="{00000000-0010-0000-0200-000001000000}" name="Systemtyp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l4" displayName="Tabell4" ref="H5:H10" totalsRowShown="0">
  <autoFilter ref="H5:H10" xr:uid="{00000000-0009-0000-0100-000004000000}"/>
  <tableColumns count="1">
    <tableColumn id="1" xr3:uid="{00000000-0010-0000-0300-000001000000}" name="Fläkttyp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l5" displayName="Tabell5" ref="J5:J8" totalsRowShown="0">
  <autoFilter ref="J5:J8" xr:uid="{00000000-0009-0000-0100-000005000000}"/>
  <tableColumns count="1">
    <tableColumn id="1" xr3:uid="{00000000-0010-0000-0400-000001000000}" name="Bes kat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l6" displayName="Tabell6" ref="L5:L8" totalsRowShown="0">
  <autoFilter ref="L5:L8" xr:uid="{00000000-0009-0000-0100-000006000000}"/>
  <tableColumns count="1">
    <tableColumn id="1" xr3:uid="{00000000-0010-0000-0500-000001000000}" name="Resultat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581D676-5EDC-49C9-BB67-19A5B1EC784F}" name="tblEnergi" displayName="tblEnergi" ref="N5:N37" totalsRowShown="0">
  <autoFilter ref="N5:N37" xr:uid="{58A06848-838A-476D-9AF9-7D80CAA629AB}"/>
  <tableColumns count="1">
    <tableColumn id="1" xr3:uid="{203DA53F-5B48-4C3D-94B8-5DB1B02C97C1}" name="Energisparförslag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2AB88FD-D7B5-4C43-AA0C-107C954535AB}" name="Tabell8" displayName="Tabell8" ref="P5:P8" totalsRowShown="0" headerRowDxfId="2">
  <autoFilter ref="P5:P8" xr:uid="{E828D5A4-DD75-4C3B-AB7C-EEC9D2CC72AC}"/>
  <tableColumns count="1">
    <tableColumn id="1" xr3:uid="{EE324762-52A3-4219-B2DD-F9DA6A725FD2}" name="Fläkthjul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2D09DA8-DC38-4CF3-974B-478F3C4A3811}" name="Tabell9" displayName="Tabell9" ref="R5:R10" totalsRowShown="0" headerRowDxfId="1">
  <autoFilter ref="R5:R10" xr:uid="{1DFF2C1C-85D1-4B21-A2D4-11B4FF9F158C}"/>
  <tableColumns count="1">
    <tableColumn id="1" xr3:uid="{390C273A-390E-49C3-8C33-B373FB2F5AC2}" name="VVX typ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380832-D687-4F87-B669-6E9FFF460FD7}" name="Tabell10" displayName="Tabell10" ref="T5:T10" totalsRowShown="0" headerRowDxfId="0">
  <autoFilter ref="T5:T10" xr:uid="{B17C5EAF-13F1-4327-AECA-47EE9B31BC4A}"/>
  <tableColumns count="1">
    <tableColumn id="1" xr3:uid="{316B99B5-8744-440D-ACA8-0FC599D1561D}" name="Filter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13" Type="http://schemas.openxmlformats.org/officeDocument/2006/relationships/ctrlProp" Target="../ctrlProps/ctrlProp51.xml"/><Relationship Id="rId18" Type="http://schemas.openxmlformats.org/officeDocument/2006/relationships/ctrlProp" Target="../ctrlProps/ctrlProp56.xml"/><Relationship Id="rId26" Type="http://schemas.openxmlformats.org/officeDocument/2006/relationships/ctrlProp" Target="../ctrlProps/ctrlProp64.xml"/><Relationship Id="rId3" Type="http://schemas.openxmlformats.org/officeDocument/2006/relationships/drawing" Target="../drawings/drawing2.xml"/><Relationship Id="rId21" Type="http://schemas.openxmlformats.org/officeDocument/2006/relationships/ctrlProp" Target="../ctrlProps/ctrlProp59.x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17" Type="http://schemas.openxmlformats.org/officeDocument/2006/relationships/ctrlProp" Target="../ctrlProps/ctrlProp55.xml"/><Relationship Id="rId25" Type="http://schemas.openxmlformats.org/officeDocument/2006/relationships/ctrlProp" Target="../ctrlProps/ctrlProp63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54.xml"/><Relationship Id="rId20" Type="http://schemas.openxmlformats.org/officeDocument/2006/relationships/ctrlProp" Target="../ctrlProps/ctrlProp58.xml"/><Relationship Id="rId29" Type="http://schemas.openxmlformats.org/officeDocument/2006/relationships/ctrlProp" Target="../ctrlProps/ctrlProp67.xml"/><Relationship Id="rId1" Type="http://schemas.openxmlformats.org/officeDocument/2006/relationships/hyperlink" Target="mailto:kristoffer@krasab.se" TargetMode="External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24" Type="http://schemas.openxmlformats.org/officeDocument/2006/relationships/ctrlProp" Target="../ctrlProps/ctrlProp62.xml"/><Relationship Id="rId32" Type="http://schemas.openxmlformats.org/officeDocument/2006/relationships/ctrlProp" Target="../ctrlProps/ctrlProp70.xml"/><Relationship Id="rId5" Type="http://schemas.openxmlformats.org/officeDocument/2006/relationships/ctrlProp" Target="../ctrlProps/ctrlProp43.xml"/><Relationship Id="rId15" Type="http://schemas.openxmlformats.org/officeDocument/2006/relationships/ctrlProp" Target="../ctrlProps/ctrlProp53.xml"/><Relationship Id="rId23" Type="http://schemas.openxmlformats.org/officeDocument/2006/relationships/ctrlProp" Target="../ctrlProps/ctrlProp61.xml"/><Relationship Id="rId28" Type="http://schemas.openxmlformats.org/officeDocument/2006/relationships/ctrlProp" Target="../ctrlProps/ctrlProp66.xml"/><Relationship Id="rId10" Type="http://schemas.openxmlformats.org/officeDocument/2006/relationships/ctrlProp" Target="../ctrlProps/ctrlProp48.xml"/><Relationship Id="rId19" Type="http://schemas.openxmlformats.org/officeDocument/2006/relationships/ctrlProp" Target="../ctrlProps/ctrlProp57.xml"/><Relationship Id="rId31" Type="http://schemas.openxmlformats.org/officeDocument/2006/relationships/ctrlProp" Target="../ctrlProps/ctrlProp6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47.xml"/><Relationship Id="rId14" Type="http://schemas.openxmlformats.org/officeDocument/2006/relationships/ctrlProp" Target="../ctrlProps/ctrlProp52.xml"/><Relationship Id="rId22" Type="http://schemas.openxmlformats.org/officeDocument/2006/relationships/ctrlProp" Target="../ctrlProps/ctrlProp60.xml"/><Relationship Id="rId27" Type="http://schemas.openxmlformats.org/officeDocument/2006/relationships/ctrlProp" Target="../ctrlProps/ctrlProp65.xml"/><Relationship Id="rId30" Type="http://schemas.openxmlformats.org/officeDocument/2006/relationships/ctrlProp" Target="../ctrlProps/ctrlProp6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bTemplate">
    <pageSetUpPr autoPageBreaks="0"/>
  </sheetPr>
  <dimension ref="C1:M60"/>
  <sheetViews>
    <sheetView showGridLines="0" zoomScaleNormal="115" workbookViewId="0">
      <selection activeCell="S70" sqref="S70"/>
    </sheetView>
  </sheetViews>
  <sheetFormatPr defaultColWidth="8.85546875" defaultRowHeight="12.75" x14ac:dyDescent="0.2"/>
  <cols>
    <col min="1" max="1" width="10.42578125" style="196" customWidth="1"/>
    <col min="2" max="2" width="1.42578125" style="196" customWidth="1"/>
    <col min="3" max="3" width="3.140625" style="196" customWidth="1"/>
    <col min="4" max="4" width="4" style="196" customWidth="1"/>
    <col min="5" max="5" width="3.140625" style="196" customWidth="1"/>
    <col min="6" max="6" width="17.42578125" style="196" customWidth="1"/>
    <col min="7" max="7" width="6.85546875" style="196" customWidth="1"/>
    <col min="8" max="8" width="6.42578125" style="196" customWidth="1"/>
    <col min="9" max="9" width="13" style="196" customWidth="1"/>
    <col min="10" max="10" width="12" style="196" customWidth="1"/>
    <col min="11" max="11" width="11.42578125" style="196" customWidth="1"/>
    <col min="12" max="13" width="8.42578125" style="196" customWidth="1"/>
    <col min="14" max="16384" width="8.85546875" style="196"/>
  </cols>
  <sheetData>
    <row r="1" spans="3:13" ht="8.4499999999999993" customHeight="1" x14ac:dyDescent="0.2"/>
    <row r="2" spans="3:13" ht="8.4499999999999993" customHeight="1" x14ac:dyDescent="0.2"/>
    <row r="3" spans="3:13" ht="9" customHeight="1" x14ac:dyDescent="0.2"/>
    <row r="4" spans="3:13" ht="9.75" customHeight="1" x14ac:dyDescent="0.2"/>
    <row r="5" spans="3:13" ht="9.75" customHeight="1" x14ac:dyDescent="0.2">
      <c r="H5" s="378" t="s">
        <v>340</v>
      </c>
      <c r="I5" s="379"/>
      <c r="J5" s="380"/>
      <c r="K5" s="378" t="s">
        <v>341</v>
      </c>
      <c r="L5" s="381"/>
      <c r="M5" s="382" t="s">
        <v>432</v>
      </c>
    </row>
    <row r="6" spans="3:13" ht="24.2" customHeight="1" x14ac:dyDescent="0.35">
      <c r="D6" s="384" t="s">
        <v>350</v>
      </c>
      <c r="E6" s="384"/>
      <c r="F6" s="384"/>
      <c r="G6" s="384"/>
      <c r="H6" s="385">
        <f>A_Blankett!I5</f>
        <v>0</v>
      </c>
      <c r="I6" s="386"/>
      <c r="J6" s="387"/>
      <c r="K6" s="388"/>
      <c r="L6" s="389"/>
      <c r="M6" s="383"/>
    </row>
    <row r="7" spans="3:13" ht="15" customHeight="1" x14ac:dyDescent="0.2">
      <c r="D7" s="390" t="s">
        <v>351</v>
      </c>
      <c r="E7" s="390"/>
      <c r="F7" s="390"/>
      <c r="G7" s="390"/>
    </row>
    <row r="8" spans="3:13" x14ac:dyDescent="0.2">
      <c r="C8" s="391" t="s">
        <v>352</v>
      </c>
      <c r="D8" s="378" t="s">
        <v>195</v>
      </c>
      <c r="E8" s="379"/>
      <c r="F8" s="379"/>
      <c r="G8" s="251"/>
      <c r="H8" s="251"/>
      <c r="I8" s="252" t="s">
        <v>257</v>
      </c>
      <c r="J8" s="253"/>
      <c r="K8" s="254" t="s">
        <v>235</v>
      </c>
      <c r="L8" s="255" t="s">
        <v>528</v>
      </c>
      <c r="M8" s="256" t="s">
        <v>353</v>
      </c>
    </row>
    <row r="9" spans="3:13" ht="15.95" customHeight="1" x14ac:dyDescent="0.2">
      <c r="C9" s="392"/>
      <c r="D9" s="393"/>
      <c r="E9" s="394"/>
      <c r="F9" s="394"/>
      <c r="G9" s="394"/>
      <c r="H9" s="395"/>
      <c r="I9" s="396">
        <f>A_Blankett!F19</f>
        <v>0</v>
      </c>
      <c r="J9" s="397"/>
      <c r="K9" s="257"/>
      <c r="L9" s="258"/>
      <c r="M9" s="259"/>
    </row>
    <row r="10" spans="3:13" ht="17.25" customHeight="1" x14ac:dyDescent="0.2">
      <c r="D10" s="377" t="s">
        <v>354</v>
      </c>
      <c r="E10" s="377"/>
      <c r="F10" s="377"/>
      <c r="G10" s="377"/>
      <c r="H10" s="377"/>
      <c r="I10" s="377"/>
      <c r="J10" s="377"/>
      <c r="K10" s="377"/>
      <c r="L10" s="377"/>
      <c r="M10" s="377"/>
    </row>
    <row r="11" spans="3:13" ht="13.5" customHeight="1" x14ac:dyDescent="0.2">
      <c r="C11" s="260" t="s">
        <v>355</v>
      </c>
      <c r="D11" s="376" t="s">
        <v>356</v>
      </c>
      <c r="E11" s="376"/>
      <c r="F11" s="376"/>
      <c r="G11" s="261" t="s">
        <v>357</v>
      </c>
      <c r="H11" s="261" t="s">
        <v>358</v>
      </c>
      <c r="I11" s="261" t="s">
        <v>245</v>
      </c>
      <c r="J11" s="261" t="s">
        <v>532</v>
      </c>
      <c r="K11" s="261" t="s">
        <v>533</v>
      </c>
      <c r="L11" s="376" t="s">
        <v>34</v>
      </c>
      <c r="M11" s="376"/>
    </row>
    <row r="12" spans="3:13" ht="20.100000000000001" customHeight="1" x14ac:dyDescent="0.2">
      <c r="C12" s="262">
        <v>1</v>
      </c>
      <c r="D12" s="374"/>
      <c r="E12" s="375"/>
      <c r="F12" s="375"/>
      <c r="G12" s="263"/>
      <c r="H12" s="264"/>
      <c r="I12" s="265"/>
      <c r="J12" s="264"/>
      <c r="K12" s="264"/>
      <c r="L12" s="374"/>
      <c r="M12" s="375"/>
    </row>
    <row r="13" spans="3:13" ht="20.100000000000001" customHeight="1" x14ac:dyDescent="0.2">
      <c r="C13" s="223">
        <v>2</v>
      </c>
      <c r="D13" s="371"/>
      <c r="E13" s="372"/>
      <c r="F13" s="373"/>
      <c r="G13" s="263"/>
      <c r="H13" s="266"/>
      <c r="I13" s="265"/>
      <c r="J13" s="264"/>
      <c r="K13" s="264"/>
      <c r="L13" s="371"/>
      <c r="M13" s="373"/>
    </row>
    <row r="14" spans="3:13" ht="20.100000000000001" customHeight="1" x14ac:dyDescent="0.2">
      <c r="C14" s="262">
        <v>3</v>
      </c>
      <c r="D14" s="374"/>
      <c r="E14" s="375"/>
      <c r="F14" s="375"/>
      <c r="G14" s="263"/>
      <c r="H14" s="266"/>
      <c r="I14" s="265"/>
      <c r="J14" s="264"/>
      <c r="K14" s="264"/>
      <c r="L14" s="374"/>
      <c r="M14" s="375"/>
    </row>
    <row r="15" spans="3:13" ht="20.100000000000001" customHeight="1" x14ac:dyDescent="0.2">
      <c r="C15" s="223">
        <v>4</v>
      </c>
      <c r="D15" s="371"/>
      <c r="E15" s="372"/>
      <c r="F15" s="372"/>
      <c r="G15" s="263"/>
      <c r="H15" s="267"/>
      <c r="I15" s="268"/>
      <c r="J15" s="269"/>
      <c r="K15" s="269"/>
      <c r="L15" s="371"/>
      <c r="M15" s="373"/>
    </row>
    <row r="16" spans="3:13" ht="20.100000000000001" customHeight="1" x14ac:dyDescent="0.2">
      <c r="C16" s="262">
        <v>5</v>
      </c>
      <c r="D16" s="374"/>
      <c r="E16" s="375"/>
      <c r="F16" s="375"/>
      <c r="G16" s="263"/>
      <c r="H16" s="266"/>
      <c r="I16" s="265"/>
      <c r="J16" s="264"/>
      <c r="K16" s="264"/>
      <c r="L16" s="374"/>
      <c r="M16" s="375"/>
    </row>
    <row r="17" spans="3:13" ht="20.100000000000001" customHeight="1" x14ac:dyDescent="0.2">
      <c r="C17" s="223">
        <v>6</v>
      </c>
      <c r="D17" s="371"/>
      <c r="E17" s="372"/>
      <c r="F17" s="372"/>
      <c r="G17" s="263"/>
      <c r="H17" s="267"/>
      <c r="I17" s="268"/>
      <c r="J17" s="269"/>
      <c r="K17" s="269"/>
      <c r="L17" s="371"/>
      <c r="M17" s="373"/>
    </row>
    <row r="18" spans="3:13" ht="20.100000000000001" customHeight="1" x14ac:dyDescent="0.2">
      <c r="C18" s="262">
        <v>7</v>
      </c>
      <c r="D18" s="375"/>
      <c r="E18" s="375"/>
      <c r="F18" s="375"/>
      <c r="G18" s="263"/>
      <c r="H18" s="266"/>
      <c r="I18" s="265"/>
      <c r="J18" s="264"/>
      <c r="K18" s="264"/>
      <c r="L18" s="374"/>
      <c r="M18" s="375"/>
    </row>
    <row r="19" spans="3:13" x14ac:dyDescent="0.2">
      <c r="C19" s="270" t="s">
        <v>359</v>
      </c>
      <c r="D19" s="278">
        <v>1</v>
      </c>
      <c r="E19" s="376" t="s">
        <v>360</v>
      </c>
      <c r="F19" s="376"/>
      <c r="G19" s="376"/>
      <c r="H19" s="261" t="s">
        <v>31</v>
      </c>
      <c r="I19" s="376" t="s">
        <v>32</v>
      </c>
      <c r="J19" s="376"/>
      <c r="K19" s="376"/>
      <c r="L19" s="376"/>
      <c r="M19" s="261" t="s">
        <v>33</v>
      </c>
    </row>
    <row r="20" spans="3:13" x14ac:dyDescent="0.2">
      <c r="C20" s="271"/>
      <c r="D20" s="272" t="s">
        <v>0</v>
      </c>
      <c r="F20" s="312" t="s">
        <v>361</v>
      </c>
      <c r="G20" s="312"/>
      <c r="H20" s="357"/>
      <c r="I20" s="364"/>
      <c r="J20" s="365"/>
      <c r="K20" s="365"/>
      <c r="L20" s="366"/>
      <c r="M20" s="359"/>
    </row>
    <row r="21" spans="3:13" x14ac:dyDescent="0.2">
      <c r="C21" s="271"/>
      <c r="D21" s="273" t="s">
        <v>1</v>
      </c>
      <c r="F21" s="312" t="s">
        <v>362</v>
      </c>
      <c r="G21" s="312"/>
      <c r="H21" s="357"/>
      <c r="I21" s="367"/>
      <c r="J21" s="368"/>
      <c r="K21" s="368"/>
      <c r="L21" s="369"/>
      <c r="M21" s="360"/>
    </row>
    <row r="22" spans="3:13" x14ac:dyDescent="0.2">
      <c r="C22" s="271"/>
      <c r="D22" s="273" t="s">
        <v>2</v>
      </c>
      <c r="F22" s="312" t="s">
        <v>363</v>
      </c>
      <c r="G22" s="312"/>
      <c r="H22" s="357"/>
      <c r="I22" s="358"/>
      <c r="J22" s="358"/>
      <c r="K22" s="358"/>
      <c r="L22" s="358"/>
      <c r="M22" s="370"/>
    </row>
    <row r="23" spans="3:13" x14ac:dyDescent="0.2">
      <c r="C23" s="271"/>
      <c r="D23" s="273" t="s">
        <v>3</v>
      </c>
      <c r="F23" s="312" t="s">
        <v>364</v>
      </c>
      <c r="G23" s="312"/>
      <c r="H23" s="357"/>
      <c r="I23" s="358"/>
      <c r="J23" s="358"/>
      <c r="K23" s="358"/>
      <c r="L23" s="358"/>
      <c r="M23" s="360"/>
    </row>
    <row r="24" spans="3:13" x14ac:dyDescent="0.2">
      <c r="C24" s="271"/>
      <c r="D24" s="274" t="s">
        <v>4</v>
      </c>
      <c r="F24" s="336" t="s">
        <v>563</v>
      </c>
      <c r="G24" s="336"/>
      <c r="H24" s="357"/>
      <c r="I24" s="358"/>
      <c r="J24" s="358"/>
      <c r="K24" s="358"/>
      <c r="L24" s="358"/>
      <c r="M24" s="359"/>
    </row>
    <row r="25" spans="3:13" x14ac:dyDescent="0.2">
      <c r="C25" s="271"/>
      <c r="D25" s="275">
        <v>2</v>
      </c>
      <c r="E25" s="361" t="s">
        <v>366</v>
      </c>
      <c r="F25" s="362"/>
      <c r="G25" s="363"/>
      <c r="H25" s="357"/>
      <c r="I25" s="358"/>
      <c r="J25" s="358"/>
      <c r="K25" s="358"/>
      <c r="L25" s="358"/>
      <c r="M25" s="360"/>
    </row>
    <row r="26" spans="3:13" x14ac:dyDescent="0.2">
      <c r="C26" s="271"/>
      <c r="D26" s="272" t="s">
        <v>5</v>
      </c>
      <c r="F26" s="312" t="s">
        <v>367</v>
      </c>
      <c r="G26" s="312"/>
      <c r="H26" s="357"/>
      <c r="I26" s="358"/>
      <c r="J26" s="358"/>
      <c r="K26" s="358"/>
      <c r="L26" s="358"/>
      <c r="M26" s="359"/>
    </row>
    <row r="27" spans="3:13" x14ac:dyDescent="0.2">
      <c r="C27" s="271"/>
      <c r="D27" s="273" t="s">
        <v>6</v>
      </c>
      <c r="F27" s="312" t="s">
        <v>368</v>
      </c>
      <c r="G27" s="312"/>
      <c r="H27" s="357"/>
      <c r="I27" s="358"/>
      <c r="J27" s="358"/>
      <c r="K27" s="358"/>
      <c r="L27" s="358"/>
      <c r="M27" s="360"/>
    </row>
    <row r="28" spans="3:13" x14ac:dyDescent="0.2">
      <c r="C28" s="271"/>
      <c r="D28" s="273" t="s">
        <v>7</v>
      </c>
      <c r="F28" s="312" t="s">
        <v>369</v>
      </c>
      <c r="G28" s="312"/>
      <c r="H28" s="357"/>
      <c r="I28" s="358"/>
      <c r="J28" s="358"/>
      <c r="K28" s="358"/>
      <c r="L28" s="358"/>
      <c r="M28" s="359"/>
    </row>
    <row r="29" spans="3:13" x14ac:dyDescent="0.2">
      <c r="C29" s="271"/>
      <c r="D29" s="273" t="s">
        <v>8</v>
      </c>
      <c r="F29" s="312" t="s">
        <v>370</v>
      </c>
      <c r="G29" s="312"/>
      <c r="H29" s="357"/>
      <c r="I29" s="358"/>
      <c r="J29" s="358"/>
      <c r="K29" s="358"/>
      <c r="L29" s="358"/>
      <c r="M29" s="360"/>
    </row>
    <row r="30" spans="3:13" x14ac:dyDescent="0.2">
      <c r="C30" s="271"/>
      <c r="D30" s="273" t="s">
        <v>9</v>
      </c>
      <c r="F30" s="312" t="s">
        <v>371</v>
      </c>
      <c r="G30" s="312"/>
      <c r="H30" s="357"/>
      <c r="I30" s="358"/>
      <c r="J30" s="358"/>
      <c r="K30" s="358"/>
      <c r="L30" s="358"/>
      <c r="M30" s="359"/>
    </row>
    <row r="31" spans="3:13" x14ac:dyDescent="0.2">
      <c r="C31" s="271"/>
      <c r="D31" s="273" t="s">
        <v>10</v>
      </c>
      <c r="F31" s="312" t="s">
        <v>372</v>
      </c>
      <c r="G31" s="312"/>
      <c r="H31" s="357"/>
      <c r="I31" s="358"/>
      <c r="J31" s="358"/>
      <c r="K31" s="358"/>
      <c r="L31" s="358"/>
      <c r="M31" s="360"/>
    </row>
    <row r="32" spans="3:13" x14ac:dyDescent="0.2">
      <c r="C32" s="271"/>
      <c r="D32" s="273" t="s">
        <v>11</v>
      </c>
      <c r="F32" s="312" t="s">
        <v>373</v>
      </c>
      <c r="G32" s="312"/>
      <c r="H32" s="357"/>
      <c r="I32" s="358"/>
      <c r="J32" s="358"/>
      <c r="K32" s="358"/>
      <c r="L32" s="358"/>
      <c r="M32" s="359"/>
    </row>
    <row r="33" spans="3:13" x14ac:dyDescent="0.2">
      <c r="C33" s="271"/>
      <c r="D33" s="273" t="s">
        <v>12</v>
      </c>
      <c r="F33" s="312" t="s">
        <v>374</v>
      </c>
      <c r="G33" s="312"/>
      <c r="H33" s="357"/>
      <c r="I33" s="358"/>
      <c r="J33" s="358"/>
      <c r="K33" s="358"/>
      <c r="L33" s="358"/>
      <c r="M33" s="360"/>
    </row>
    <row r="34" spans="3:13" x14ac:dyDescent="0.2">
      <c r="C34" s="271"/>
      <c r="D34" s="273" t="s">
        <v>13</v>
      </c>
      <c r="F34" s="312" t="s">
        <v>375</v>
      </c>
      <c r="G34" s="312"/>
      <c r="H34" s="357"/>
      <c r="I34" s="358"/>
      <c r="J34" s="358"/>
      <c r="K34" s="358"/>
      <c r="L34" s="358"/>
      <c r="M34" s="359"/>
    </row>
    <row r="35" spans="3:13" x14ac:dyDescent="0.2">
      <c r="C35" s="271"/>
      <c r="D35" s="274" t="s">
        <v>14</v>
      </c>
      <c r="F35" s="336" t="s">
        <v>365</v>
      </c>
      <c r="G35" s="336"/>
      <c r="H35" s="357"/>
      <c r="I35" s="358"/>
      <c r="J35" s="358"/>
      <c r="K35" s="358"/>
      <c r="L35" s="358"/>
      <c r="M35" s="360"/>
    </row>
    <row r="36" spans="3:13" x14ac:dyDescent="0.2">
      <c r="C36" s="271"/>
      <c r="D36" s="275">
        <v>3</v>
      </c>
      <c r="E36" s="353" t="s">
        <v>376</v>
      </c>
      <c r="F36" s="354"/>
      <c r="G36" s="355"/>
      <c r="H36" s="357"/>
      <c r="I36" s="358"/>
      <c r="J36" s="358"/>
      <c r="K36" s="358"/>
      <c r="L36" s="358"/>
      <c r="M36" s="359"/>
    </row>
    <row r="37" spans="3:13" x14ac:dyDescent="0.2">
      <c r="C37" s="271"/>
      <c r="D37" s="272" t="s">
        <v>15</v>
      </c>
      <c r="F37" s="312" t="s">
        <v>368</v>
      </c>
      <c r="G37" s="312"/>
      <c r="H37" s="357"/>
      <c r="I37" s="358"/>
      <c r="J37" s="358"/>
      <c r="K37" s="358"/>
      <c r="L37" s="358"/>
      <c r="M37" s="360"/>
    </row>
    <row r="38" spans="3:13" x14ac:dyDescent="0.2">
      <c r="C38" s="271"/>
      <c r="D38" s="273" t="s">
        <v>16</v>
      </c>
      <c r="F38" s="312" t="s">
        <v>369</v>
      </c>
      <c r="G38" s="312"/>
      <c r="H38" s="357"/>
      <c r="I38" s="358"/>
      <c r="J38" s="358"/>
      <c r="K38" s="358"/>
      <c r="L38" s="358"/>
      <c r="M38" s="359"/>
    </row>
    <row r="39" spans="3:13" x14ac:dyDescent="0.2">
      <c r="C39" s="271"/>
      <c r="D39" s="273" t="s">
        <v>17</v>
      </c>
      <c r="F39" s="312" t="s">
        <v>370</v>
      </c>
      <c r="G39" s="312"/>
      <c r="H39" s="357"/>
      <c r="I39" s="358"/>
      <c r="J39" s="358"/>
      <c r="K39" s="358"/>
      <c r="L39" s="358"/>
      <c r="M39" s="360"/>
    </row>
    <row r="40" spans="3:13" x14ac:dyDescent="0.2">
      <c r="C40" s="271"/>
      <c r="D40" s="273" t="s">
        <v>18</v>
      </c>
      <c r="F40" s="312" t="s">
        <v>377</v>
      </c>
      <c r="G40" s="312"/>
      <c r="H40" s="357"/>
      <c r="I40" s="358"/>
      <c r="J40" s="358"/>
      <c r="K40" s="358"/>
      <c r="L40" s="358"/>
      <c r="M40" s="359"/>
    </row>
    <row r="41" spans="3:13" x14ac:dyDescent="0.2">
      <c r="C41" s="271"/>
      <c r="D41" s="273" t="s">
        <v>19</v>
      </c>
      <c r="F41" s="312" t="s">
        <v>378</v>
      </c>
      <c r="G41" s="312"/>
      <c r="H41" s="357"/>
      <c r="I41" s="358"/>
      <c r="J41" s="358"/>
      <c r="K41" s="358"/>
      <c r="L41" s="358"/>
      <c r="M41" s="360"/>
    </row>
    <row r="42" spans="3:13" x14ac:dyDescent="0.2">
      <c r="C42" s="271"/>
      <c r="D42" s="273" t="s">
        <v>20</v>
      </c>
      <c r="F42" s="312" t="s">
        <v>379</v>
      </c>
      <c r="G42" s="312"/>
      <c r="H42" s="357"/>
      <c r="I42" s="358"/>
      <c r="J42" s="358"/>
      <c r="K42" s="358"/>
      <c r="L42" s="358"/>
      <c r="M42" s="359"/>
    </row>
    <row r="43" spans="3:13" x14ac:dyDescent="0.2">
      <c r="C43" s="271"/>
      <c r="D43" s="273" t="s">
        <v>21</v>
      </c>
      <c r="F43" s="312" t="s">
        <v>380</v>
      </c>
      <c r="G43" s="312"/>
      <c r="H43" s="357"/>
      <c r="I43" s="358"/>
      <c r="J43" s="358"/>
      <c r="K43" s="358"/>
      <c r="L43" s="358"/>
      <c r="M43" s="360"/>
    </row>
    <row r="44" spans="3:13" x14ac:dyDescent="0.2">
      <c r="C44" s="271"/>
      <c r="D44" s="273" t="s">
        <v>22</v>
      </c>
      <c r="F44" s="312" t="s">
        <v>372</v>
      </c>
      <c r="G44" s="312"/>
      <c r="H44" s="347" t="s">
        <v>381</v>
      </c>
      <c r="I44" s="348"/>
      <c r="J44" s="348"/>
      <c r="K44" s="348"/>
      <c r="L44" s="348"/>
      <c r="M44" s="349"/>
    </row>
    <row r="45" spans="3:13" x14ac:dyDescent="0.2">
      <c r="C45" s="271"/>
      <c r="D45" s="273" t="s">
        <v>23</v>
      </c>
      <c r="F45" s="312" t="s">
        <v>373</v>
      </c>
      <c r="G45" s="312"/>
      <c r="H45" s="350"/>
      <c r="I45" s="351"/>
      <c r="J45" s="351"/>
      <c r="K45" s="351"/>
      <c r="L45" s="351"/>
      <c r="M45" s="352"/>
    </row>
    <row r="46" spans="3:13" ht="13.5" customHeight="1" x14ac:dyDescent="0.2">
      <c r="C46" s="271"/>
      <c r="D46" s="274" t="s">
        <v>24</v>
      </c>
      <c r="F46" s="336" t="s">
        <v>365</v>
      </c>
      <c r="G46" s="336"/>
      <c r="H46" s="330"/>
      <c r="I46" s="331"/>
      <c r="J46" s="331"/>
      <c r="K46" s="331"/>
      <c r="L46" s="331"/>
      <c r="M46" s="332"/>
    </row>
    <row r="47" spans="3:13" ht="14.25" customHeight="1" x14ac:dyDescent="0.2">
      <c r="C47" s="271"/>
      <c r="D47" s="276">
        <v>4</v>
      </c>
      <c r="E47" s="353" t="s">
        <v>382</v>
      </c>
      <c r="F47" s="354"/>
      <c r="G47" s="355"/>
      <c r="H47" s="333"/>
      <c r="I47" s="334"/>
      <c r="J47" s="334"/>
      <c r="K47" s="334"/>
      <c r="L47" s="334"/>
      <c r="M47" s="335"/>
    </row>
    <row r="48" spans="3:13" ht="12.75" customHeight="1" x14ac:dyDescent="0.2">
      <c r="C48" s="271"/>
      <c r="D48" s="272" t="s">
        <v>25</v>
      </c>
      <c r="F48" s="312" t="s">
        <v>383</v>
      </c>
      <c r="G48" s="312"/>
      <c r="H48" s="356"/>
      <c r="I48" s="331"/>
      <c r="J48" s="331"/>
      <c r="K48" s="331"/>
      <c r="L48" s="331"/>
      <c r="M48" s="332"/>
    </row>
    <row r="49" spans="3:13" x14ac:dyDescent="0.2">
      <c r="C49" s="271"/>
      <c r="D49" s="273" t="s">
        <v>26</v>
      </c>
      <c r="F49" s="312" t="s">
        <v>384</v>
      </c>
      <c r="G49" s="312"/>
      <c r="H49" s="333"/>
      <c r="I49" s="334"/>
      <c r="J49" s="334"/>
      <c r="K49" s="334"/>
      <c r="L49" s="334"/>
      <c r="M49" s="335"/>
    </row>
    <row r="50" spans="3:13" ht="12.75" customHeight="1" x14ac:dyDescent="0.2">
      <c r="C50" s="271"/>
      <c r="D50" s="273" t="s">
        <v>27</v>
      </c>
      <c r="F50" s="312" t="s">
        <v>385</v>
      </c>
      <c r="G50" s="312"/>
      <c r="H50" s="330"/>
      <c r="I50" s="331"/>
      <c r="J50" s="331"/>
      <c r="K50" s="331"/>
      <c r="L50" s="331"/>
      <c r="M50" s="332"/>
    </row>
    <row r="51" spans="3:13" x14ac:dyDescent="0.2">
      <c r="C51" s="271"/>
      <c r="D51" s="273" t="s">
        <v>28</v>
      </c>
      <c r="F51" s="312" t="s">
        <v>386</v>
      </c>
      <c r="G51" s="312"/>
      <c r="H51" s="333"/>
      <c r="I51" s="334"/>
      <c r="J51" s="334"/>
      <c r="K51" s="334"/>
      <c r="L51" s="334"/>
      <c r="M51" s="335"/>
    </row>
    <row r="52" spans="3:13" ht="12.75" customHeight="1" x14ac:dyDescent="0.2">
      <c r="C52" s="271"/>
      <c r="D52" s="273" t="s">
        <v>29</v>
      </c>
      <c r="F52" s="312" t="s">
        <v>387</v>
      </c>
      <c r="G52" s="312"/>
      <c r="H52" s="330"/>
      <c r="I52" s="331"/>
      <c r="J52" s="331"/>
      <c r="K52" s="331"/>
      <c r="L52" s="331"/>
      <c r="M52" s="332"/>
    </row>
    <row r="53" spans="3:13" ht="13.5" customHeight="1" x14ac:dyDescent="0.2">
      <c r="C53" s="271"/>
      <c r="D53" s="274" t="s">
        <v>30</v>
      </c>
      <c r="F53" s="336" t="s">
        <v>365</v>
      </c>
      <c r="G53" s="336"/>
      <c r="H53" s="333"/>
      <c r="I53" s="334"/>
      <c r="J53" s="334"/>
      <c r="K53" s="334"/>
      <c r="L53" s="334"/>
      <c r="M53" s="335"/>
    </row>
    <row r="54" spans="3:13" x14ac:dyDescent="0.2">
      <c r="C54" s="271"/>
      <c r="D54" s="277"/>
      <c r="E54" s="337" t="s">
        <v>388</v>
      </c>
      <c r="F54" s="337"/>
      <c r="G54" s="337"/>
      <c r="H54" s="338" t="s">
        <v>389</v>
      </c>
      <c r="I54" s="338"/>
      <c r="J54" s="279" t="s">
        <v>390</v>
      </c>
      <c r="K54" s="339" t="s">
        <v>391</v>
      </c>
      <c r="L54" s="341" t="s">
        <v>218</v>
      </c>
      <c r="M54" s="342"/>
    </row>
    <row r="55" spans="3:13" ht="12.95" customHeight="1" x14ac:dyDescent="0.2">
      <c r="D55" s="280"/>
      <c r="E55" s="197"/>
      <c r="F55" s="312" t="s">
        <v>392</v>
      </c>
      <c r="G55" s="313"/>
      <c r="H55" s="345" t="s">
        <v>393</v>
      </c>
      <c r="I55" s="346"/>
      <c r="J55" s="269"/>
      <c r="K55" s="340"/>
      <c r="L55" s="343"/>
      <c r="M55" s="344"/>
    </row>
    <row r="56" spans="3:13" ht="12.95" customHeight="1" x14ac:dyDescent="0.2">
      <c r="D56" s="281"/>
      <c r="E56" s="197"/>
      <c r="F56" s="312" t="s">
        <v>394</v>
      </c>
      <c r="G56" s="313"/>
      <c r="H56" s="314" t="s">
        <v>395</v>
      </c>
      <c r="I56" s="315"/>
      <c r="J56" s="269"/>
      <c r="K56" s="282"/>
      <c r="L56" s="316"/>
      <c r="M56" s="317"/>
    </row>
    <row r="57" spans="3:13" ht="12.95" customHeight="1" x14ac:dyDescent="0.2">
      <c r="D57" s="281"/>
      <c r="F57" s="312" t="s">
        <v>396</v>
      </c>
      <c r="G57" s="313"/>
      <c r="H57" s="314" t="s">
        <v>564</v>
      </c>
      <c r="I57" s="315"/>
      <c r="J57" s="264"/>
      <c r="K57" s="318" t="s">
        <v>298</v>
      </c>
      <c r="L57" s="319"/>
      <c r="M57" s="320"/>
    </row>
    <row r="58" spans="3:13" ht="12.95" customHeight="1" x14ac:dyDescent="0.2">
      <c r="D58" s="281"/>
      <c r="F58" s="312" t="s">
        <v>397</v>
      </c>
      <c r="G58" s="313"/>
      <c r="H58" s="314" t="s">
        <v>567</v>
      </c>
      <c r="I58" s="315"/>
      <c r="J58" s="264"/>
      <c r="K58" s="321" t="e" vm="1">
        <v>#VALUE!</v>
      </c>
      <c r="L58" s="322"/>
      <c r="M58" s="323"/>
    </row>
    <row r="59" spans="3:13" ht="12.95" customHeight="1" x14ac:dyDescent="0.2">
      <c r="D59" s="283"/>
      <c r="E59" s="207"/>
      <c r="F59" s="326" t="s">
        <v>398</v>
      </c>
      <c r="G59" s="327"/>
      <c r="H59" s="328" t="s">
        <v>565</v>
      </c>
      <c r="I59" s="329"/>
      <c r="J59" s="264"/>
      <c r="K59" s="324"/>
      <c r="L59" s="325"/>
      <c r="M59" s="317"/>
    </row>
    <row r="60" spans="3:13" x14ac:dyDescent="0.2">
      <c r="M60" s="311" t="s">
        <v>582</v>
      </c>
    </row>
  </sheetData>
  <mergeCells count="122">
    <mergeCell ref="H5:J5"/>
    <mergeCell ref="K5:L5"/>
    <mergeCell ref="M5:M6"/>
    <mergeCell ref="D6:G6"/>
    <mergeCell ref="H6:J6"/>
    <mergeCell ref="K6:L6"/>
    <mergeCell ref="D7:G7"/>
    <mergeCell ref="C8:C9"/>
    <mergeCell ref="D8:F8"/>
    <mergeCell ref="D9:H9"/>
    <mergeCell ref="I9:J9"/>
    <mergeCell ref="D10:M10"/>
    <mergeCell ref="D11:F11"/>
    <mergeCell ref="L11:M11"/>
    <mergeCell ref="D12:F12"/>
    <mergeCell ref="L12:M12"/>
    <mergeCell ref="D13:F13"/>
    <mergeCell ref="L13:M13"/>
    <mergeCell ref="D14:F14"/>
    <mergeCell ref="L14:M14"/>
    <mergeCell ref="D15:F15"/>
    <mergeCell ref="L15:M15"/>
    <mergeCell ref="D16:F16"/>
    <mergeCell ref="L16:M16"/>
    <mergeCell ref="D17:F17"/>
    <mergeCell ref="L17:M17"/>
    <mergeCell ref="D18:F18"/>
    <mergeCell ref="L18:M18"/>
    <mergeCell ref="E19:G19"/>
    <mergeCell ref="I19:L19"/>
    <mergeCell ref="F20:G20"/>
    <mergeCell ref="H20:H21"/>
    <mergeCell ref="I20:L21"/>
    <mergeCell ref="M20:M21"/>
    <mergeCell ref="F21:G21"/>
    <mergeCell ref="F22:G22"/>
    <mergeCell ref="H22:H23"/>
    <mergeCell ref="I22:L23"/>
    <mergeCell ref="M22:M23"/>
    <mergeCell ref="F23:G23"/>
    <mergeCell ref="F24:G24"/>
    <mergeCell ref="H24:H25"/>
    <mergeCell ref="I24:L25"/>
    <mergeCell ref="M24:M25"/>
    <mergeCell ref="E25:G25"/>
    <mergeCell ref="F26:G26"/>
    <mergeCell ref="H26:H27"/>
    <mergeCell ref="I26:L27"/>
    <mergeCell ref="M26:M27"/>
    <mergeCell ref="F27:G27"/>
    <mergeCell ref="F28:G28"/>
    <mergeCell ref="H28:H29"/>
    <mergeCell ref="I28:L29"/>
    <mergeCell ref="M28:M29"/>
    <mergeCell ref="F29:G29"/>
    <mergeCell ref="F30:G30"/>
    <mergeCell ref="H30:H31"/>
    <mergeCell ref="I30:L31"/>
    <mergeCell ref="M30:M31"/>
    <mergeCell ref="F31:G31"/>
    <mergeCell ref="F32:G32"/>
    <mergeCell ref="H32:H33"/>
    <mergeCell ref="I32:L33"/>
    <mergeCell ref="M32:M33"/>
    <mergeCell ref="F33:G33"/>
    <mergeCell ref="F34:G34"/>
    <mergeCell ref="H34:H35"/>
    <mergeCell ref="I34:L35"/>
    <mergeCell ref="M34:M35"/>
    <mergeCell ref="F35:G35"/>
    <mergeCell ref="E36:G36"/>
    <mergeCell ref="H36:H37"/>
    <mergeCell ref="I36:L37"/>
    <mergeCell ref="M36:M37"/>
    <mergeCell ref="F37:G37"/>
    <mergeCell ref="F38:G38"/>
    <mergeCell ref="H38:H39"/>
    <mergeCell ref="I38:L39"/>
    <mergeCell ref="M38:M39"/>
    <mergeCell ref="F39:G39"/>
    <mergeCell ref="F40:G40"/>
    <mergeCell ref="H40:H41"/>
    <mergeCell ref="I40:L41"/>
    <mergeCell ref="M40:M41"/>
    <mergeCell ref="F41:G41"/>
    <mergeCell ref="F42:G42"/>
    <mergeCell ref="H42:H43"/>
    <mergeCell ref="I42:L43"/>
    <mergeCell ref="M42:M43"/>
    <mergeCell ref="F43:G43"/>
    <mergeCell ref="F44:G44"/>
    <mergeCell ref="H44:M45"/>
    <mergeCell ref="F45:G45"/>
    <mergeCell ref="F46:G46"/>
    <mergeCell ref="H46:M47"/>
    <mergeCell ref="E47:G47"/>
    <mergeCell ref="F48:G48"/>
    <mergeCell ref="H48:M49"/>
    <mergeCell ref="F49:G49"/>
    <mergeCell ref="F50:G50"/>
    <mergeCell ref="H50:M51"/>
    <mergeCell ref="F51:G51"/>
    <mergeCell ref="F52:G52"/>
    <mergeCell ref="H52:M53"/>
    <mergeCell ref="F53:G53"/>
    <mergeCell ref="E54:G54"/>
    <mergeCell ref="H54:I54"/>
    <mergeCell ref="K54:K55"/>
    <mergeCell ref="L54:M55"/>
    <mergeCell ref="F55:G55"/>
    <mergeCell ref="H55:I55"/>
    <mergeCell ref="F56:G56"/>
    <mergeCell ref="H56:I56"/>
    <mergeCell ref="L56:M56"/>
    <mergeCell ref="F57:G57"/>
    <mergeCell ref="H57:I57"/>
    <mergeCell ref="K57:M57"/>
    <mergeCell ref="F58:G58"/>
    <mergeCell ref="H58:I58"/>
    <mergeCell ref="K58:M59"/>
    <mergeCell ref="F59:G59"/>
    <mergeCell ref="H59:I59"/>
  </mergeCells>
  <dataValidations count="7">
    <dataValidation type="list" allowBlank="1" showInputMessage="1" showErrorMessage="1" errorTitle="Systemtyp" error="Systemtyp anges enligt_x000a__x000a_S_x000a_F_x000a_FT_x000a_FTX" sqref="K9" xr:uid="{00000000-0002-0000-0000-000000000000}">
      <formula1>tblSystemtyp</formula1>
    </dataValidation>
    <dataValidation type="list" allowBlank="1" showInputMessage="1" showErrorMessage="1" sqref="L9" xr:uid="{00000000-0002-0000-0000-000001000000}">
      <formula1>tblbeskat</formula1>
    </dataValidation>
    <dataValidation type="list" allowBlank="1" sqref="H46:M53" xr:uid="{00000000-0002-0000-0000-000002000000}">
      <formula1>rngEnergi</formula1>
    </dataValidation>
    <dataValidation type="list" allowBlank="1" showInputMessage="1" showErrorMessage="1" sqref="M9" xr:uid="{00000000-0002-0000-0000-000003000000}">
      <formula1>tblRes</formula1>
    </dataValidation>
    <dataValidation type="list" allowBlank="1" showInputMessage="1" showErrorMessage="1" errorTitle="Pos" error="Position anges enligt checklista." sqref="H20:H43" xr:uid="{00000000-0002-0000-0000-000004000000}">
      <formula1>tblPos</formula1>
    </dataValidation>
    <dataValidation type="list" allowBlank="1" showInputMessage="1" showErrorMessage="1" errorTitle="Utfall" error="Utfall enligt_x000a__x000a_0 = Notering_x000a_1 = Bör åtgärdas_x000a_2 = Skall åtgärdas" sqref="M20:M43" xr:uid="{00000000-0002-0000-0000-000005000000}">
      <formula1>tblUtfall</formula1>
    </dataValidation>
    <dataValidation type="list" allowBlank="1" showInputMessage="1" showErrorMessage="1" sqref="G12:G18" xr:uid="{00000000-0002-0000-0000-000006000000}">
      <formula1>tblFlaktTyp</formula1>
    </dataValidation>
  </dataValidations>
  <printOptions horizontalCentered="1" verticalCentered="1"/>
  <pageMargins left="0.39370078740157483" right="0.31" top="0.19685039370078741" bottom="0.33" header="0.35433070866141736" footer="0.28000000000000003"/>
  <pageSetup paperSize="9" orientation="portrait" r:id="rId1"/>
  <headerFooter alignWithMargins="0">
    <oddFooter>&amp;L&amp;8FunkiS&amp;R&amp;8v 1.1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3745" r:id="rId4" name="Check Box 1">
              <controlPr locked="0" defaultSize="0" autoFill="0" autoLine="0" autoPict="0">
                <anchor moveWithCells="1">
                  <from>
                    <xdr:col>4</xdr:col>
                    <xdr:colOff>0</xdr:colOff>
                    <xdr:row>18</xdr:row>
                    <xdr:rowOff>142875</xdr:rowOff>
                  </from>
                  <to>
                    <xdr:col>5</xdr:col>
                    <xdr:colOff>104775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6" r:id="rId5" name="Check Box 2">
              <controlPr locked="0" defaultSize="0" autoFill="0" autoLine="0" autoPict="0">
                <anchor moveWithCells="1">
                  <from>
                    <xdr:col>4</xdr:col>
                    <xdr:colOff>0</xdr:colOff>
                    <xdr:row>19</xdr:row>
                    <xdr:rowOff>142875</xdr:rowOff>
                  </from>
                  <to>
                    <xdr:col>5</xdr:col>
                    <xdr:colOff>104775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7" r:id="rId6" name="Check Box 3">
              <controlPr locked="0" defaultSize="0" autoFill="0" autoLine="0" autoPict="0">
                <anchor moveWithCells="1">
                  <from>
                    <xdr:col>4</xdr:col>
                    <xdr:colOff>0</xdr:colOff>
                    <xdr:row>20</xdr:row>
                    <xdr:rowOff>142875</xdr:rowOff>
                  </from>
                  <to>
                    <xdr:col>5</xdr:col>
                    <xdr:colOff>104775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8" r:id="rId7" name="Check Box 4">
              <controlPr locked="0" defaultSize="0" autoFill="0" autoLine="0" autoPict="0">
                <anchor moveWithCells="1">
                  <from>
                    <xdr:col>4</xdr:col>
                    <xdr:colOff>0</xdr:colOff>
                    <xdr:row>21</xdr:row>
                    <xdr:rowOff>142875</xdr:rowOff>
                  </from>
                  <to>
                    <xdr:col>5</xdr:col>
                    <xdr:colOff>104775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9" r:id="rId8" name="Check Box 5">
              <controlPr locked="0" defaultSize="0" autoFill="0" autoLine="0" autoPict="0">
                <anchor moveWithCells="1">
                  <from>
                    <xdr:col>4</xdr:col>
                    <xdr:colOff>0</xdr:colOff>
                    <xdr:row>22</xdr:row>
                    <xdr:rowOff>142875</xdr:rowOff>
                  </from>
                  <to>
                    <xdr:col>5</xdr:col>
                    <xdr:colOff>104775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0" r:id="rId9" name="Check Box 6">
              <controlPr locked="0" defaultSize="0" autoFill="0" autoLine="0" autoPict="0">
                <anchor moveWithCells="1">
                  <from>
                    <xdr:col>4</xdr:col>
                    <xdr:colOff>0</xdr:colOff>
                    <xdr:row>24</xdr:row>
                    <xdr:rowOff>142875</xdr:rowOff>
                  </from>
                  <to>
                    <xdr:col>5</xdr:col>
                    <xdr:colOff>104775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1" r:id="rId10" name="Check Box 7">
              <controlPr locked="0" defaultSize="0" autoFill="0" autoLine="0" autoPict="0">
                <anchor moveWithCells="1">
                  <from>
                    <xdr:col>4</xdr:col>
                    <xdr:colOff>0</xdr:colOff>
                    <xdr:row>25</xdr:row>
                    <xdr:rowOff>142875</xdr:rowOff>
                  </from>
                  <to>
                    <xdr:col>5</xdr:col>
                    <xdr:colOff>104775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2" r:id="rId11" name="Check Box 8">
              <controlPr locked="0" defaultSize="0" autoFill="0" autoLine="0" autoPict="0">
                <anchor moveWithCells="1">
                  <from>
                    <xdr:col>4</xdr:col>
                    <xdr:colOff>0</xdr:colOff>
                    <xdr:row>26</xdr:row>
                    <xdr:rowOff>142875</xdr:rowOff>
                  </from>
                  <to>
                    <xdr:col>5</xdr:col>
                    <xdr:colOff>104775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3" r:id="rId12" name="Check Box 9">
              <controlPr locked="0" defaultSize="0" autoFill="0" autoLine="0" autoPict="0">
                <anchor moveWithCells="1">
                  <from>
                    <xdr:col>4</xdr:col>
                    <xdr:colOff>0</xdr:colOff>
                    <xdr:row>27</xdr:row>
                    <xdr:rowOff>142875</xdr:rowOff>
                  </from>
                  <to>
                    <xdr:col>5</xdr:col>
                    <xdr:colOff>104775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4" r:id="rId13" name="Check Box 10">
              <controlPr locked="0" defaultSize="0" autoFill="0" autoLine="0" autoPict="0">
                <anchor moveWithCells="1">
                  <from>
                    <xdr:col>4</xdr:col>
                    <xdr:colOff>0</xdr:colOff>
                    <xdr:row>28</xdr:row>
                    <xdr:rowOff>142875</xdr:rowOff>
                  </from>
                  <to>
                    <xdr:col>5</xdr:col>
                    <xdr:colOff>104775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5" r:id="rId14" name="Check Box 11">
              <controlPr locked="0"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142875</xdr:rowOff>
                  </from>
                  <to>
                    <xdr:col>5</xdr:col>
                    <xdr:colOff>104775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6" r:id="rId15" name="Check Box 12">
              <controlPr locked="0" defaultSize="0" autoFill="0" autoLine="0" autoPict="0">
                <anchor moveWithCells="1">
                  <from>
                    <xdr:col>4</xdr:col>
                    <xdr:colOff>0</xdr:colOff>
                    <xdr:row>30</xdr:row>
                    <xdr:rowOff>142875</xdr:rowOff>
                  </from>
                  <to>
                    <xdr:col>5</xdr:col>
                    <xdr:colOff>104775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7" r:id="rId16" name="Check Box 13">
              <controlPr locked="0"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142875</xdr:rowOff>
                  </from>
                  <to>
                    <xdr:col>5</xdr:col>
                    <xdr:colOff>104775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8" r:id="rId17" name="Check Box 14">
              <controlPr locked="0"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142875</xdr:rowOff>
                  </from>
                  <to>
                    <xdr:col>5</xdr:col>
                    <xdr:colOff>104775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9" r:id="rId18" name="Check Box 15">
              <controlPr locked="0"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142875</xdr:rowOff>
                  </from>
                  <to>
                    <xdr:col>5</xdr:col>
                    <xdr:colOff>104775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0" r:id="rId19" name="Check Box 16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35</xdr:row>
                    <xdr:rowOff>142875</xdr:rowOff>
                  </from>
                  <to>
                    <xdr:col>5</xdr:col>
                    <xdr:colOff>85725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1" r:id="rId20" name="Check Box 17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36</xdr:row>
                    <xdr:rowOff>142875</xdr:rowOff>
                  </from>
                  <to>
                    <xdr:col>5</xdr:col>
                    <xdr:colOff>85725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2" r:id="rId21" name="Check Box 18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37</xdr:row>
                    <xdr:rowOff>142875</xdr:rowOff>
                  </from>
                  <to>
                    <xdr:col>5</xdr:col>
                    <xdr:colOff>85725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3" r:id="rId22" name="Check Box 19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38</xdr:row>
                    <xdr:rowOff>142875</xdr:rowOff>
                  </from>
                  <to>
                    <xdr:col>5</xdr:col>
                    <xdr:colOff>85725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4" r:id="rId23" name="Check Box 20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39</xdr:row>
                    <xdr:rowOff>142875</xdr:rowOff>
                  </from>
                  <to>
                    <xdr:col>5</xdr:col>
                    <xdr:colOff>85725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5" r:id="rId24" name="Check Box 21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40</xdr:row>
                    <xdr:rowOff>142875</xdr:rowOff>
                  </from>
                  <to>
                    <xdr:col>5</xdr:col>
                    <xdr:colOff>85725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6" r:id="rId25" name="Check Box 22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41</xdr:row>
                    <xdr:rowOff>123825</xdr:rowOff>
                  </from>
                  <to>
                    <xdr:col>5</xdr:col>
                    <xdr:colOff>85725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7" r:id="rId26" name="Check Box 23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42</xdr:row>
                    <xdr:rowOff>142875</xdr:rowOff>
                  </from>
                  <to>
                    <xdr:col>5</xdr:col>
                    <xdr:colOff>85725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8" r:id="rId27" name="Check Box 24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43</xdr:row>
                    <xdr:rowOff>142875</xdr:rowOff>
                  </from>
                  <to>
                    <xdr:col>5</xdr:col>
                    <xdr:colOff>85725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9" r:id="rId28" name="Check Box 25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44</xdr:row>
                    <xdr:rowOff>142875</xdr:rowOff>
                  </from>
                  <to>
                    <xdr:col>5</xdr:col>
                    <xdr:colOff>85725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0" r:id="rId29" name="Check Box 26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46</xdr:row>
                    <xdr:rowOff>142875</xdr:rowOff>
                  </from>
                  <to>
                    <xdr:col>5</xdr:col>
                    <xdr:colOff>85725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1" r:id="rId30" name="Check Box 27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47</xdr:row>
                    <xdr:rowOff>142875</xdr:rowOff>
                  </from>
                  <to>
                    <xdr:col>5</xdr:col>
                    <xdr:colOff>85725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2" r:id="rId31" name="Check Box 28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48</xdr:row>
                    <xdr:rowOff>142875</xdr:rowOff>
                  </from>
                  <to>
                    <xdr:col>5</xdr:col>
                    <xdr:colOff>85725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3" r:id="rId32" name="Check Box 29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49</xdr:row>
                    <xdr:rowOff>123825</xdr:rowOff>
                  </from>
                  <to>
                    <xdr:col>5</xdr:col>
                    <xdr:colOff>85725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4" r:id="rId33" name="Check Box 30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50</xdr:row>
                    <xdr:rowOff>142875</xdr:rowOff>
                  </from>
                  <to>
                    <xdr:col>5</xdr:col>
                    <xdr:colOff>85725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5" r:id="rId34" name="Check Box 31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51</xdr:row>
                    <xdr:rowOff>142875</xdr:rowOff>
                  </from>
                  <to>
                    <xdr:col>5</xdr:col>
                    <xdr:colOff>85725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6" r:id="rId35" name="Check Box 32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53</xdr:row>
                    <xdr:rowOff>142875</xdr:rowOff>
                  </from>
                  <to>
                    <xdr:col>5</xdr:col>
                    <xdr:colOff>85725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7" r:id="rId36" name="Check Box 33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54</xdr:row>
                    <xdr:rowOff>123825</xdr:rowOff>
                  </from>
                  <to>
                    <xdr:col>5</xdr:col>
                    <xdr:colOff>85725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8" r:id="rId37" name="Check Box 34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55</xdr:row>
                    <xdr:rowOff>142875</xdr:rowOff>
                  </from>
                  <to>
                    <xdr:col>5</xdr:col>
                    <xdr:colOff>85725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9" r:id="rId38" name="Check Box 35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56</xdr:row>
                    <xdr:rowOff>142875</xdr:rowOff>
                  </from>
                  <to>
                    <xdr:col>5</xdr:col>
                    <xdr:colOff>85725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0" r:id="rId39" name="Check Box 36">
              <controlPr locked="0" defaultSize="0" autoFill="0" autoLine="0" autoPict="0">
                <anchor moveWithCells="1">
                  <from>
                    <xdr:col>3</xdr:col>
                    <xdr:colOff>266700</xdr:colOff>
                    <xdr:row>57</xdr:row>
                    <xdr:rowOff>142875</xdr:rowOff>
                  </from>
                  <to>
                    <xdr:col>5</xdr:col>
                    <xdr:colOff>85725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1" r:id="rId40" name="Check Box 37">
              <controlPr locked="0" defaultSize="0" autoFill="0" autoLine="0" autoPict="0">
                <anchor moveWithCells="1">
                  <from>
                    <xdr:col>6</xdr:col>
                    <xdr:colOff>714375</xdr:colOff>
                    <xdr:row>53</xdr:row>
                    <xdr:rowOff>142875</xdr:rowOff>
                  </from>
                  <to>
                    <xdr:col>7</xdr:col>
                    <xdr:colOff>314325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2" r:id="rId41" name="Check Box 38">
              <controlPr locked="0" defaultSize="0" autoFill="0" autoLine="0" autoPict="0">
                <anchor moveWithCells="1">
                  <from>
                    <xdr:col>6</xdr:col>
                    <xdr:colOff>714375</xdr:colOff>
                    <xdr:row>54</xdr:row>
                    <xdr:rowOff>142875</xdr:rowOff>
                  </from>
                  <to>
                    <xdr:col>7</xdr:col>
                    <xdr:colOff>314325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3" r:id="rId42" name="Check Box 39">
              <controlPr locked="0" defaultSize="0" autoFill="0" autoLine="0" autoPict="0">
                <anchor moveWithCells="1">
                  <from>
                    <xdr:col>6</xdr:col>
                    <xdr:colOff>714375</xdr:colOff>
                    <xdr:row>55</xdr:row>
                    <xdr:rowOff>123825</xdr:rowOff>
                  </from>
                  <to>
                    <xdr:col>7</xdr:col>
                    <xdr:colOff>314325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4" r:id="rId43" name="Check Box 40">
              <controlPr locked="0" defaultSize="0" autoFill="0" autoLine="0" autoPict="0">
                <anchor moveWithCells="1">
                  <from>
                    <xdr:col>6</xdr:col>
                    <xdr:colOff>714375</xdr:colOff>
                    <xdr:row>56</xdr:row>
                    <xdr:rowOff>123825</xdr:rowOff>
                  </from>
                  <to>
                    <xdr:col>7</xdr:col>
                    <xdr:colOff>314325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5" r:id="rId44" name="Check Box 41">
              <controlPr locked="0" defaultSize="0" autoFill="0" autoLine="0" autoPict="0">
                <anchor moveWithCells="1">
                  <from>
                    <xdr:col>6</xdr:col>
                    <xdr:colOff>714375</xdr:colOff>
                    <xdr:row>57</xdr:row>
                    <xdr:rowOff>123825</xdr:rowOff>
                  </from>
                  <to>
                    <xdr:col>7</xdr:col>
                    <xdr:colOff>314325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6" r:id="rId45" name="Check Box 42">
              <controlPr locked="0" defaultSize="0" autoFill="0" autoLine="0" autoPict="0">
                <anchor moveWithCells="1">
                  <from>
                    <xdr:col>6</xdr:col>
                    <xdr:colOff>714375</xdr:colOff>
                    <xdr:row>56</xdr:row>
                    <xdr:rowOff>123825</xdr:rowOff>
                  </from>
                  <to>
                    <xdr:col>7</xdr:col>
                    <xdr:colOff>314325</xdr:colOff>
                    <xdr:row>58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_Temp">
    <pageSetUpPr autoPageBreaks="0"/>
  </sheetPr>
  <dimension ref="A1:Q58"/>
  <sheetViews>
    <sheetView showGridLines="0" tabSelected="1" zoomScale="140" zoomScaleNormal="140" workbookViewId="0">
      <selection activeCell="H55" sqref="H55:M55"/>
    </sheetView>
  </sheetViews>
  <sheetFormatPr defaultColWidth="9.140625" defaultRowHeight="12.75" x14ac:dyDescent="0.2"/>
  <cols>
    <col min="1" max="1" width="9.42578125" style="155" customWidth="1"/>
    <col min="2" max="2" width="1.42578125" style="236" customWidth="1"/>
    <col min="3" max="3" width="3.140625" style="155" customWidth="1"/>
    <col min="4" max="4" width="13.42578125" style="155" customWidth="1"/>
    <col min="5" max="5" width="5.85546875" style="155" customWidth="1"/>
    <col min="6" max="6" width="12.140625" style="155" customWidth="1"/>
    <col min="7" max="7" width="8.42578125" style="155" customWidth="1"/>
    <col min="8" max="9" width="11.42578125" style="155" customWidth="1"/>
    <col min="10" max="10" width="8.42578125" style="155" customWidth="1"/>
    <col min="11" max="12" width="6.42578125" style="155" customWidth="1"/>
    <col min="13" max="13" width="10" style="155" customWidth="1"/>
    <col min="14" max="14" width="2" style="155" customWidth="1"/>
    <col min="15" max="15" width="1.42578125" style="236" customWidth="1"/>
    <col min="16" max="16384" width="9.140625" style="155"/>
  </cols>
  <sheetData>
    <row r="1" spans="1:17" ht="8.85" customHeight="1" x14ac:dyDescent="0.2">
      <c r="A1" s="236"/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P1" s="236"/>
      <c r="Q1" s="236"/>
    </row>
    <row r="2" spans="1:17" ht="7.5" customHeight="1" x14ac:dyDescent="0.2">
      <c r="A2" s="236"/>
      <c r="C2" s="236"/>
      <c r="D2" s="236"/>
      <c r="E2" s="236"/>
      <c r="F2" s="236"/>
      <c r="G2" s="236"/>
      <c r="H2" s="236"/>
      <c r="I2" s="236"/>
      <c r="J2" s="236"/>
      <c r="K2" s="236"/>
      <c r="L2" s="236"/>
      <c r="M2" s="236"/>
      <c r="N2" s="236"/>
      <c r="P2" s="236"/>
      <c r="Q2" s="236"/>
    </row>
    <row r="3" spans="1:17" s="236" customFormat="1" ht="9" customHeight="1" x14ac:dyDescent="0.2"/>
    <row r="4" spans="1:17" ht="9.9499999999999993" customHeight="1" x14ac:dyDescent="0.2">
      <c r="A4" s="236"/>
      <c r="F4" s="288"/>
      <c r="G4" s="288"/>
      <c r="H4" s="300"/>
      <c r="I4" s="300"/>
      <c r="J4" s="288"/>
      <c r="P4" s="236"/>
      <c r="Q4" s="236"/>
    </row>
    <row r="5" spans="1:17" ht="21.75" customHeight="1" x14ac:dyDescent="0.35">
      <c r="A5" s="236"/>
      <c r="D5" s="286"/>
      <c r="E5" s="289"/>
      <c r="F5" s="289"/>
      <c r="G5" s="290"/>
      <c r="H5" s="61" t="s">
        <v>39</v>
      </c>
      <c r="I5" s="418"/>
      <c r="J5" s="418"/>
      <c r="K5" s="418"/>
      <c r="L5" s="419"/>
      <c r="M5" s="62" t="s">
        <v>40</v>
      </c>
      <c r="P5" s="236"/>
      <c r="Q5" s="236"/>
    </row>
    <row r="6" spans="1:17" ht="23.25" x14ac:dyDescent="0.35">
      <c r="A6" s="236"/>
      <c r="D6" s="63" t="s">
        <v>190</v>
      </c>
      <c r="E6" s="288"/>
      <c r="F6" s="288"/>
      <c r="G6" s="288"/>
      <c r="H6" s="309" t="s">
        <v>581</v>
      </c>
      <c r="I6" s="65"/>
      <c r="J6" s="65"/>
      <c r="K6" s="65"/>
      <c r="L6" s="65"/>
      <c r="M6" s="66"/>
      <c r="P6" s="236"/>
      <c r="Q6" s="236"/>
    </row>
    <row r="7" spans="1:17" x14ac:dyDescent="0.2">
      <c r="A7" s="236"/>
      <c r="D7" s="186" t="s">
        <v>566</v>
      </c>
      <c r="E7" s="288"/>
      <c r="F7" s="288"/>
      <c r="G7" s="288"/>
      <c r="H7" s="64"/>
      <c r="I7" s="65"/>
      <c r="J7" s="65"/>
      <c r="K7" s="65"/>
      <c r="L7" s="65"/>
      <c r="M7" s="66"/>
      <c r="P7" s="236"/>
      <c r="Q7" s="236"/>
    </row>
    <row r="8" spans="1:17" ht="15" customHeight="1" x14ac:dyDescent="0.2">
      <c r="A8" s="236"/>
      <c r="D8" s="187" t="s">
        <v>568</v>
      </c>
      <c r="E8" s="288"/>
      <c r="F8" s="288"/>
      <c r="G8" s="288"/>
      <c r="H8" s="64"/>
      <c r="I8" s="65"/>
      <c r="J8" s="65"/>
      <c r="K8" s="65"/>
      <c r="L8" s="65"/>
      <c r="M8" s="66"/>
      <c r="P8" s="236"/>
      <c r="Q8" s="236"/>
    </row>
    <row r="9" spans="1:17" ht="9.9499999999999993" customHeight="1" x14ac:dyDescent="0.2">
      <c r="A9" s="236"/>
      <c r="D9" s="67" t="s">
        <v>434</v>
      </c>
      <c r="H9" s="68"/>
      <c r="I9" s="69"/>
      <c r="J9" s="69"/>
      <c r="K9" s="69"/>
      <c r="L9" s="69"/>
      <c r="M9" s="70"/>
      <c r="P9" s="236"/>
      <c r="Q9" s="236"/>
    </row>
    <row r="10" spans="1:17" ht="12" customHeight="1" x14ac:dyDescent="0.2">
      <c r="A10" s="235"/>
      <c r="B10" s="235"/>
      <c r="C10" s="398"/>
      <c r="D10" s="9" t="s">
        <v>195</v>
      </c>
      <c r="E10" s="10"/>
      <c r="F10" s="284"/>
      <c r="G10" s="14"/>
      <c r="H10" s="9" t="s">
        <v>41</v>
      </c>
      <c r="I10" s="14"/>
      <c r="J10" s="71" t="s">
        <v>191</v>
      </c>
      <c r="K10" s="404" t="s">
        <v>42</v>
      </c>
      <c r="L10" s="405"/>
      <c r="M10" s="406"/>
      <c r="N10" s="72"/>
      <c r="O10" s="235"/>
      <c r="P10" s="235"/>
      <c r="Q10" s="235"/>
    </row>
    <row r="11" spans="1:17" ht="12.95" customHeight="1" x14ac:dyDescent="0.2">
      <c r="A11" s="236"/>
      <c r="C11" s="398"/>
      <c r="D11" s="399"/>
      <c r="E11" s="400"/>
      <c r="F11" s="400"/>
      <c r="G11" s="401"/>
      <c r="H11" s="399"/>
      <c r="I11" s="401"/>
      <c r="J11" s="291"/>
      <c r="K11" s="399"/>
      <c r="L11" s="400"/>
      <c r="M11" s="401"/>
      <c r="P11" s="236"/>
      <c r="Q11" s="236"/>
    </row>
    <row r="12" spans="1:17" s="292" customFormat="1" ht="12" customHeight="1" x14ac:dyDescent="0.2">
      <c r="A12" s="307"/>
      <c r="B12" s="307"/>
      <c r="D12" s="9" t="s">
        <v>43</v>
      </c>
      <c r="E12" s="10"/>
      <c r="F12" s="10"/>
      <c r="G12" s="14"/>
      <c r="H12" s="9" t="s">
        <v>44</v>
      </c>
      <c r="I12" s="14"/>
      <c r="J12" s="71" t="s">
        <v>191</v>
      </c>
      <c r="K12" s="404" t="s">
        <v>42</v>
      </c>
      <c r="L12" s="405"/>
      <c r="M12" s="406"/>
      <c r="O12" s="307"/>
      <c r="P12" s="307"/>
      <c r="Q12" s="307"/>
    </row>
    <row r="13" spans="1:17" ht="12.95" customHeight="1" x14ac:dyDescent="0.2">
      <c r="A13" s="236"/>
      <c r="D13" s="399"/>
      <c r="E13" s="400"/>
      <c r="F13" s="402"/>
      <c r="G13" s="403"/>
      <c r="H13" s="399"/>
      <c r="I13" s="401"/>
      <c r="J13" s="291"/>
      <c r="K13" s="399"/>
      <c r="L13" s="400"/>
      <c r="M13" s="401"/>
      <c r="P13" s="236"/>
      <c r="Q13" s="236"/>
    </row>
    <row r="14" spans="1:17" s="292" customFormat="1" ht="12" customHeight="1" x14ac:dyDescent="0.2">
      <c r="A14" s="307"/>
      <c r="B14" s="307"/>
      <c r="D14" s="9" t="s">
        <v>258</v>
      </c>
      <c r="E14" s="10"/>
      <c r="F14" s="10"/>
      <c r="G14" s="14"/>
      <c r="H14" s="9" t="s">
        <v>44</v>
      </c>
      <c r="I14" s="14"/>
      <c r="J14" s="71" t="s">
        <v>191</v>
      </c>
      <c r="K14" s="404" t="s">
        <v>42</v>
      </c>
      <c r="L14" s="405"/>
      <c r="M14" s="406"/>
      <c r="O14" s="307"/>
      <c r="P14" s="307"/>
      <c r="Q14" s="307"/>
    </row>
    <row r="15" spans="1:17" ht="12.95" customHeight="1" x14ac:dyDescent="0.2">
      <c r="A15" s="236"/>
      <c r="D15" s="399"/>
      <c r="E15" s="400"/>
      <c r="F15" s="402"/>
      <c r="G15" s="403"/>
      <c r="H15" s="399"/>
      <c r="I15" s="401"/>
      <c r="J15" s="291"/>
      <c r="K15" s="399"/>
      <c r="L15" s="400"/>
      <c r="M15" s="401"/>
      <c r="P15" s="236"/>
      <c r="Q15" s="236"/>
    </row>
    <row r="16" spans="1:17" s="292" customFormat="1" ht="12" customHeight="1" x14ac:dyDescent="0.2">
      <c r="A16" s="307"/>
      <c r="B16" s="307"/>
      <c r="D16" s="9" t="s">
        <v>261</v>
      </c>
      <c r="E16" s="10"/>
      <c r="F16" s="10"/>
      <c r="G16" s="10"/>
      <c r="H16" s="14"/>
      <c r="I16" s="9" t="s">
        <v>192</v>
      </c>
      <c r="J16" s="410" t="s">
        <v>193</v>
      </c>
      <c r="K16" s="411"/>
      <c r="L16" s="411"/>
      <c r="M16" s="412"/>
      <c r="O16" s="307"/>
      <c r="P16" s="307"/>
      <c r="Q16" s="307"/>
    </row>
    <row r="17" spans="1:17" ht="12.95" customHeight="1" x14ac:dyDescent="0.2">
      <c r="A17" s="236"/>
      <c r="D17" s="399"/>
      <c r="E17" s="400"/>
      <c r="F17" s="400"/>
      <c r="G17" s="400"/>
      <c r="H17" s="401"/>
      <c r="I17" s="285"/>
      <c r="J17" s="407"/>
      <c r="K17" s="408"/>
      <c r="L17" s="408"/>
      <c r="M17" s="409"/>
      <c r="P17" s="236"/>
      <c r="Q17" s="236"/>
    </row>
    <row r="18" spans="1:17" s="292" customFormat="1" ht="12" customHeight="1" x14ac:dyDescent="0.2">
      <c r="A18" s="307"/>
      <c r="B18" s="307"/>
      <c r="D18" s="9" t="s">
        <v>260</v>
      </c>
      <c r="E18" s="14"/>
      <c r="F18" s="9" t="s">
        <v>257</v>
      </c>
      <c r="G18" s="14"/>
      <c r="H18" s="9" t="s">
        <v>262</v>
      </c>
      <c r="I18" s="14"/>
      <c r="J18" s="71" t="s">
        <v>194</v>
      </c>
      <c r="K18" s="9" t="s">
        <v>256</v>
      </c>
      <c r="L18" s="10"/>
      <c r="M18" s="71" t="s">
        <v>209</v>
      </c>
      <c r="O18" s="307"/>
      <c r="P18" s="307"/>
      <c r="Q18" s="307"/>
    </row>
    <row r="19" spans="1:17" ht="12.95" customHeight="1" x14ac:dyDescent="0.2">
      <c r="A19" s="236"/>
      <c r="D19" s="399"/>
      <c r="E19" s="401"/>
      <c r="F19" s="399"/>
      <c r="G19" s="401"/>
      <c r="H19" s="399"/>
      <c r="I19" s="401"/>
      <c r="J19" s="291"/>
      <c r="K19" s="399"/>
      <c r="L19" s="401"/>
      <c r="M19" s="291"/>
      <c r="P19" s="236"/>
      <c r="Q19" s="236"/>
    </row>
    <row r="20" spans="1:17" ht="6" customHeight="1" x14ac:dyDescent="0.2">
      <c r="A20" s="236"/>
      <c r="D20" s="425"/>
      <c r="E20" s="425"/>
      <c r="F20" s="425"/>
      <c r="G20" s="425"/>
      <c r="H20" s="425"/>
      <c r="I20" s="425"/>
      <c r="J20" s="425"/>
      <c r="K20" s="425"/>
      <c r="L20" s="425"/>
      <c r="M20" s="425"/>
      <c r="P20" s="236"/>
      <c r="Q20" s="236"/>
    </row>
    <row r="21" spans="1:17" ht="14.25" customHeight="1" x14ac:dyDescent="0.2">
      <c r="A21" s="236"/>
      <c r="D21" s="423" t="s">
        <v>433</v>
      </c>
      <c r="E21" s="424"/>
      <c r="F21" s="424"/>
      <c r="G21" s="424"/>
      <c r="H21" s="424"/>
      <c r="I21" s="424"/>
      <c r="J21" s="424"/>
      <c r="K21" s="425"/>
      <c r="L21" s="425"/>
      <c r="M21" s="425"/>
      <c r="P21" s="236"/>
      <c r="Q21" s="236"/>
    </row>
    <row r="22" spans="1:17" ht="18.75" customHeight="1" x14ac:dyDescent="0.2">
      <c r="A22" s="235"/>
      <c r="B22" s="235"/>
      <c r="C22" s="73"/>
      <c r="D22" s="162" t="s">
        <v>35</v>
      </c>
      <c r="E22" s="287" t="s">
        <v>337</v>
      </c>
      <c r="F22" s="287" t="s">
        <v>218</v>
      </c>
      <c r="G22" s="287" t="s">
        <v>254</v>
      </c>
      <c r="H22" s="287" t="s">
        <v>333</v>
      </c>
      <c r="I22" s="287" t="s">
        <v>45</v>
      </c>
      <c r="J22" s="287" t="s">
        <v>435</v>
      </c>
      <c r="K22" s="435" t="s">
        <v>219</v>
      </c>
      <c r="L22" s="436"/>
      <c r="M22" s="436"/>
      <c r="N22" s="72"/>
      <c r="O22" s="235"/>
      <c r="P22" s="235"/>
      <c r="Q22" s="235"/>
    </row>
    <row r="23" spans="1:17" ht="17.100000000000001" customHeight="1" x14ac:dyDescent="0.2">
      <c r="A23" s="236"/>
      <c r="C23" s="293">
        <f ca="1">IF(E23=1,3,IF(E23=2,6,0))</f>
        <v>0</v>
      </c>
      <c r="D23" s="295" t="str">
        <f ca="1">IFERROR(INDIRECT(J23&amp;"!K6"),"")</f>
        <v/>
      </c>
      <c r="E23" s="302" t="str">
        <f t="shared" ref="E23:E35" ca="1" si="0">IFERROR(INDIRECT(J23&amp;"!L9"),"")</f>
        <v/>
      </c>
      <c r="F23" s="303" t="str">
        <f ca="1">IFERROR(INDIRECT(J23&amp;"!L56"),"")</f>
        <v/>
      </c>
      <c r="G23" s="304" t="str">
        <f ca="1">IFERROR(INDIRECT(J23&amp;"!M9"),"")</f>
        <v/>
      </c>
      <c r="H23" s="303" t="str">
        <f ca="1">IFERROR(INDIRECT(J23&amp;"!K56"),"")</f>
        <v/>
      </c>
      <c r="I23" s="305" t="str">
        <f ca="1">IF(J23="","",IF(C23=0,"-",EDATE(F23,12*C23)))</f>
        <v/>
      </c>
      <c r="J23" s="306" t="str">
        <f ca="1">IFERROR(INDIRECT("b" &amp;ROW(A1)&amp;"!M5"),"")</f>
        <v/>
      </c>
      <c r="K23" s="434"/>
      <c r="L23" s="402"/>
      <c r="M23" s="403"/>
      <c r="N23" s="294"/>
      <c r="P23" s="236"/>
      <c r="Q23" s="236"/>
    </row>
    <row r="24" spans="1:17" ht="17.100000000000001" customHeight="1" x14ac:dyDescent="0.2">
      <c r="A24" s="236"/>
      <c r="C24" s="293">
        <f t="shared" ref="C24:C36" ca="1" si="1">IF(E24=1,3,IF(E24=2,6,0))</f>
        <v>0</v>
      </c>
      <c r="D24" s="295" t="str">
        <f ca="1">IFERROR(INDIRECT(J24&amp;"!K6"),"")</f>
        <v/>
      </c>
      <c r="E24" s="302" t="str">
        <f t="shared" ca="1" si="0"/>
        <v/>
      </c>
      <c r="F24" s="303" t="str">
        <f t="shared" ref="F24:F35" ca="1" si="2">IFERROR(INDIRECT(J24&amp;"!L56"),"")</f>
        <v/>
      </c>
      <c r="G24" s="304" t="str">
        <f ca="1">IFERROR(INDIRECT(J24&amp;"!M9"),"")</f>
        <v/>
      </c>
      <c r="H24" s="303" t="str">
        <f ca="1">IFERROR(INDIRECT(J24&amp;"!K56"),"")</f>
        <v/>
      </c>
      <c r="I24" s="305" t="str">
        <f t="shared" ref="I24:I35" ca="1" si="3">IF(J24="","",IF(C24=0,"-",EDATE(F24,12*C24)))</f>
        <v/>
      </c>
      <c r="J24" s="306" t="str">
        <f ca="1">IFERROR(INDIRECT("b" &amp;ROW(A2)&amp;"!M5"),"")</f>
        <v/>
      </c>
      <c r="K24" s="420"/>
      <c r="L24" s="421"/>
      <c r="M24" s="422"/>
      <c r="P24" s="236"/>
      <c r="Q24" s="236"/>
    </row>
    <row r="25" spans="1:17" ht="17.100000000000001" customHeight="1" x14ac:dyDescent="0.2">
      <c r="A25" s="236"/>
      <c r="C25" s="293">
        <f t="shared" ca="1" si="1"/>
        <v>0</v>
      </c>
      <c r="D25" s="295" t="str">
        <f t="shared" ref="D25:D36" ca="1" si="4">IFERROR(INDIRECT(J25&amp;"!K6"),"")</f>
        <v/>
      </c>
      <c r="E25" s="302" t="str">
        <f t="shared" ca="1" si="0"/>
        <v/>
      </c>
      <c r="F25" s="303" t="str">
        <f t="shared" ca="1" si="2"/>
        <v/>
      </c>
      <c r="G25" s="304" t="str">
        <f ca="1">IFERROR(INDIRECT(J25&amp;"!M9"),"")</f>
        <v/>
      </c>
      <c r="H25" s="303" t="str">
        <f ca="1">IFERROR(INDIRECT(J25&amp;"!K56"),"")</f>
        <v/>
      </c>
      <c r="I25" s="305" t="str">
        <f t="shared" ca="1" si="3"/>
        <v/>
      </c>
      <c r="J25" s="306" t="str">
        <f ca="1">IFERROR(INDIRECT("b" &amp;ROW(A3)&amp;"!M5"),"")</f>
        <v/>
      </c>
      <c r="K25" s="420"/>
      <c r="L25" s="421"/>
      <c r="M25" s="422"/>
      <c r="P25" s="236"/>
      <c r="Q25" s="236"/>
    </row>
    <row r="26" spans="1:17" ht="17.100000000000001" customHeight="1" x14ac:dyDescent="0.2">
      <c r="A26" s="236"/>
      <c r="C26" s="293">
        <f t="shared" ca="1" si="1"/>
        <v>0</v>
      </c>
      <c r="D26" s="295" t="str">
        <f t="shared" ca="1" si="4"/>
        <v/>
      </c>
      <c r="E26" s="302" t="str">
        <f t="shared" ca="1" si="0"/>
        <v/>
      </c>
      <c r="F26" s="303" t="str">
        <f t="shared" ca="1" si="2"/>
        <v/>
      </c>
      <c r="G26" s="304" t="str">
        <f ca="1">IFERROR(INDIRECT(J26&amp;"!M9"),"")</f>
        <v/>
      </c>
      <c r="H26" s="303" t="str">
        <f ca="1">IFERROR(INDIRECT(J26&amp;"!K56"),"")</f>
        <v/>
      </c>
      <c r="I26" s="305" t="str">
        <f t="shared" ca="1" si="3"/>
        <v/>
      </c>
      <c r="J26" s="306" t="str">
        <f ca="1">IFERROR(INDIRECT("b" &amp;ROW(A4)&amp;"!M5"),"")</f>
        <v/>
      </c>
      <c r="K26" s="420"/>
      <c r="L26" s="421"/>
      <c r="M26" s="422"/>
      <c r="P26" s="236"/>
      <c r="Q26" s="236"/>
    </row>
    <row r="27" spans="1:17" ht="17.100000000000001" customHeight="1" x14ac:dyDescent="0.2">
      <c r="A27" s="236"/>
      <c r="C27" s="293">
        <f t="shared" ca="1" si="1"/>
        <v>0</v>
      </c>
      <c r="D27" s="295" t="str">
        <f t="shared" ca="1" si="4"/>
        <v/>
      </c>
      <c r="E27" s="302" t="str">
        <f t="shared" ca="1" si="0"/>
        <v/>
      </c>
      <c r="F27" s="303" t="str">
        <f t="shared" ca="1" si="2"/>
        <v/>
      </c>
      <c r="G27" s="304" t="str">
        <f t="shared" ref="G27:G35" ca="1" si="5">IFERROR(INDIRECT(J27&amp;"!M9"),"")</f>
        <v/>
      </c>
      <c r="H27" s="303" t="str">
        <f t="shared" ref="H27:H35" ca="1" si="6">IFERROR(INDIRECT(J27&amp;"!K56"),"")</f>
        <v/>
      </c>
      <c r="I27" s="305" t="str">
        <f t="shared" ca="1" si="3"/>
        <v/>
      </c>
      <c r="J27" s="306" t="str">
        <f ca="1">IFERROR(INDIRECT("b" &amp;ROW(A5)&amp;"!M5"),"")</f>
        <v/>
      </c>
      <c r="K27" s="420"/>
      <c r="L27" s="421"/>
      <c r="M27" s="422"/>
      <c r="P27" s="236"/>
      <c r="Q27" s="236"/>
    </row>
    <row r="28" spans="1:17" ht="17.100000000000001" customHeight="1" x14ac:dyDescent="0.2">
      <c r="A28" s="236"/>
      <c r="C28" s="293">
        <f t="shared" ca="1" si="1"/>
        <v>0</v>
      </c>
      <c r="D28" s="295" t="str">
        <f t="shared" ca="1" si="4"/>
        <v/>
      </c>
      <c r="E28" s="302" t="str">
        <f t="shared" ca="1" si="0"/>
        <v/>
      </c>
      <c r="F28" s="303" t="str">
        <f t="shared" ca="1" si="2"/>
        <v/>
      </c>
      <c r="G28" s="304" t="str">
        <f t="shared" ca="1" si="5"/>
        <v/>
      </c>
      <c r="H28" s="303" t="str">
        <f t="shared" ca="1" si="6"/>
        <v/>
      </c>
      <c r="I28" s="305" t="str">
        <f t="shared" ca="1" si="3"/>
        <v/>
      </c>
      <c r="J28" s="306" t="str">
        <f t="shared" ref="J28:J36" ca="1" si="7">IFERROR(INDIRECT("b" &amp;ROW(A6)&amp;"!M5"),"")</f>
        <v/>
      </c>
      <c r="K28" s="420"/>
      <c r="L28" s="421"/>
      <c r="M28" s="422"/>
      <c r="P28" s="236"/>
      <c r="Q28" s="236"/>
    </row>
    <row r="29" spans="1:17" ht="17.100000000000001" customHeight="1" x14ac:dyDescent="0.2">
      <c r="A29" s="236"/>
      <c r="C29" s="293">
        <f t="shared" ca="1" si="1"/>
        <v>0</v>
      </c>
      <c r="D29" s="295" t="str">
        <f t="shared" ca="1" si="4"/>
        <v/>
      </c>
      <c r="E29" s="302" t="str">
        <f t="shared" ca="1" si="0"/>
        <v/>
      </c>
      <c r="F29" s="303" t="str">
        <f t="shared" ca="1" si="2"/>
        <v/>
      </c>
      <c r="G29" s="304" t="str">
        <f t="shared" ca="1" si="5"/>
        <v/>
      </c>
      <c r="H29" s="303" t="str">
        <f t="shared" ca="1" si="6"/>
        <v/>
      </c>
      <c r="I29" s="305" t="str">
        <f t="shared" ca="1" si="3"/>
        <v/>
      </c>
      <c r="J29" s="306" t="str">
        <f t="shared" ca="1" si="7"/>
        <v/>
      </c>
      <c r="K29" s="420"/>
      <c r="L29" s="421"/>
      <c r="M29" s="422"/>
      <c r="P29" s="236"/>
      <c r="Q29" s="236"/>
    </row>
    <row r="30" spans="1:17" ht="17.100000000000001" customHeight="1" x14ac:dyDescent="0.2">
      <c r="A30" s="236"/>
      <c r="C30" s="293">
        <f t="shared" ca="1" si="1"/>
        <v>0</v>
      </c>
      <c r="D30" s="295" t="str">
        <f t="shared" ca="1" si="4"/>
        <v/>
      </c>
      <c r="E30" s="302" t="str">
        <f t="shared" ca="1" si="0"/>
        <v/>
      </c>
      <c r="F30" s="303" t="str">
        <f t="shared" ca="1" si="2"/>
        <v/>
      </c>
      <c r="G30" s="304" t="str">
        <f t="shared" ca="1" si="5"/>
        <v/>
      </c>
      <c r="H30" s="303" t="str">
        <f t="shared" ca="1" si="6"/>
        <v/>
      </c>
      <c r="I30" s="305" t="str">
        <f t="shared" ca="1" si="3"/>
        <v/>
      </c>
      <c r="J30" s="306" t="str">
        <f t="shared" ca="1" si="7"/>
        <v/>
      </c>
      <c r="K30" s="420"/>
      <c r="L30" s="421"/>
      <c r="M30" s="422"/>
      <c r="P30" s="236"/>
      <c r="Q30" s="236"/>
    </row>
    <row r="31" spans="1:17" ht="17.100000000000001" customHeight="1" x14ac:dyDescent="0.2">
      <c r="A31" s="236"/>
      <c r="C31" s="293">
        <f t="shared" ca="1" si="1"/>
        <v>0</v>
      </c>
      <c r="D31" s="295" t="str">
        <f t="shared" ca="1" si="4"/>
        <v/>
      </c>
      <c r="E31" s="302" t="str">
        <f t="shared" ca="1" si="0"/>
        <v/>
      </c>
      <c r="F31" s="303" t="str">
        <f t="shared" ca="1" si="2"/>
        <v/>
      </c>
      <c r="G31" s="304" t="str">
        <f t="shared" ca="1" si="5"/>
        <v/>
      </c>
      <c r="H31" s="303" t="str">
        <f t="shared" ca="1" si="6"/>
        <v/>
      </c>
      <c r="I31" s="305" t="str">
        <f t="shared" ca="1" si="3"/>
        <v/>
      </c>
      <c r="J31" s="306" t="str">
        <f t="shared" ca="1" si="7"/>
        <v/>
      </c>
      <c r="K31" s="420"/>
      <c r="L31" s="421"/>
      <c r="M31" s="422"/>
      <c r="P31" s="236"/>
      <c r="Q31" s="236"/>
    </row>
    <row r="32" spans="1:17" ht="17.100000000000001" customHeight="1" x14ac:dyDescent="0.2">
      <c r="A32" s="236"/>
      <c r="C32" s="293">
        <f t="shared" ca="1" si="1"/>
        <v>0</v>
      </c>
      <c r="D32" s="295" t="str">
        <f t="shared" ca="1" si="4"/>
        <v/>
      </c>
      <c r="E32" s="302" t="str">
        <f t="shared" ca="1" si="0"/>
        <v/>
      </c>
      <c r="F32" s="303" t="str">
        <f t="shared" ca="1" si="2"/>
        <v/>
      </c>
      <c r="G32" s="304" t="str">
        <f t="shared" ca="1" si="5"/>
        <v/>
      </c>
      <c r="H32" s="303" t="str">
        <f t="shared" ca="1" si="6"/>
        <v/>
      </c>
      <c r="I32" s="305" t="str">
        <f t="shared" ca="1" si="3"/>
        <v/>
      </c>
      <c r="J32" s="306" t="str">
        <f t="shared" ca="1" si="7"/>
        <v/>
      </c>
      <c r="K32" s="420"/>
      <c r="L32" s="421"/>
      <c r="M32" s="422"/>
      <c r="P32" s="236"/>
      <c r="Q32" s="236"/>
    </row>
    <row r="33" spans="1:17" ht="17.100000000000001" customHeight="1" x14ac:dyDescent="0.2">
      <c r="A33" s="236"/>
      <c r="C33" s="293">
        <f t="shared" ca="1" si="1"/>
        <v>0</v>
      </c>
      <c r="D33" s="295" t="str">
        <f t="shared" ca="1" si="4"/>
        <v/>
      </c>
      <c r="E33" s="302" t="str">
        <f t="shared" ca="1" si="0"/>
        <v/>
      </c>
      <c r="F33" s="303" t="str">
        <f t="shared" ca="1" si="2"/>
        <v/>
      </c>
      <c r="G33" s="304" t="str">
        <f t="shared" ca="1" si="5"/>
        <v/>
      </c>
      <c r="H33" s="303" t="str">
        <f t="shared" ca="1" si="6"/>
        <v/>
      </c>
      <c r="I33" s="305" t="str">
        <f t="shared" ca="1" si="3"/>
        <v/>
      </c>
      <c r="J33" s="306" t="str">
        <f t="shared" ca="1" si="7"/>
        <v/>
      </c>
      <c r="K33" s="420"/>
      <c r="L33" s="421"/>
      <c r="M33" s="422"/>
      <c r="P33" s="236"/>
      <c r="Q33" s="236"/>
    </row>
    <row r="34" spans="1:17" ht="17.100000000000001" customHeight="1" x14ac:dyDescent="0.2">
      <c r="A34" s="236"/>
      <c r="C34" s="293">
        <f t="shared" ca="1" si="1"/>
        <v>0</v>
      </c>
      <c r="D34" s="295" t="str">
        <f t="shared" ca="1" si="4"/>
        <v/>
      </c>
      <c r="E34" s="302" t="str">
        <f t="shared" ca="1" si="0"/>
        <v/>
      </c>
      <c r="F34" s="303" t="str">
        <f t="shared" ca="1" si="2"/>
        <v/>
      </c>
      <c r="G34" s="304" t="str">
        <f t="shared" ca="1" si="5"/>
        <v/>
      </c>
      <c r="H34" s="303" t="str">
        <f t="shared" ca="1" si="6"/>
        <v/>
      </c>
      <c r="I34" s="305" t="str">
        <f t="shared" ca="1" si="3"/>
        <v/>
      </c>
      <c r="J34" s="306" t="str">
        <f t="shared" ca="1" si="7"/>
        <v/>
      </c>
      <c r="K34" s="420"/>
      <c r="L34" s="421"/>
      <c r="M34" s="422"/>
      <c r="P34" s="236"/>
      <c r="Q34" s="236"/>
    </row>
    <row r="35" spans="1:17" ht="17.100000000000001" customHeight="1" x14ac:dyDescent="0.2">
      <c r="A35" s="236"/>
      <c r="C35" s="293">
        <f t="shared" ca="1" si="1"/>
        <v>0</v>
      </c>
      <c r="D35" s="295" t="str">
        <f t="shared" ca="1" si="4"/>
        <v/>
      </c>
      <c r="E35" s="302" t="str">
        <f t="shared" ca="1" si="0"/>
        <v/>
      </c>
      <c r="F35" s="303" t="str">
        <f t="shared" ca="1" si="2"/>
        <v/>
      </c>
      <c r="G35" s="304" t="str">
        <f t="shared" ca="1" si="5"/>
        <v/>
      </c>
      <c r="H35" s="303" t="str">
        <f t="shared" ca="1" si="6"/>
        <v/>
      </c>
      <c r="I35" s="305" t="str">
        <f t="shared" ca="1" si="3"/>
        <v/>
      </c>
      <c r="J35" s="306" t="str">
        <f t="shared" ca="1" si="7"/>
        <v/>
      </c>
      <c r="K35" s="420"/>
      <c r="L35" s="421"/>
      <c r="M35" s="422"/>
      <c r="P35" s="236"/>
      <c r="Q35" s="236"/>
    </row>
    <row r="36" spans="1:17" ht="0.75" customHeight="1" x14ac:dyDescent="0.2">
      <c r="A36" s="236"/>
      <c r="C36" s="293">
        <f t="shared" si="1"/>
        <v>0</v>
      </c>
      <c r="D36" s="295" t="str">
        <f t="shared" ca="1" si="4"/>
        <v/>
      </c>
      <c r="E36" s="296"/>
      <c r="F36" s="297"/>
      <c r="G36" s="296"/>
      <c r="H36" s="156"/>
      <c r="I36" s="298"/>
      <c r="J36" s="306" t="str">
        <f t="shared" ca="1" si="7"/>
        <v/>
      </c>
      <c r="K36" s="299"/>
      <c r="L36" s="299"/>
      <c r="M36" s="299"/>
      <c r="P36" s="236"/>
      <c r="Q36" s="236"/>
    </row>
    <row r="37" spans="1:17" ht="18" customHeight="1" x14ac:dyDescent="0.2">
      <c r="A37" s="236"/>
      <c r="D37" s="426" t="s">
        <v>46</v>
      </c>
      <c r="E37" s="426"/>
      <c r="F37" s="426"/>
      <c r="G37" s="426"/>
      <c r="H37" s="426"/>
      <c r="I37" s="426"/>
      <c r="K37" s="425"/>
      <c r="L37" s="425"/>
      <c r="M37" s="425"/>
      <c r="P37" s="236"/>
      <c r="Q37" s="236"/>
    </row>
    <row r="38" spans="1:17" ht="18" customHeight="1" x14ac:dyDescent="0.2">
      <c r="A38" s="236"/>
      <c r="C38" s="73"/>
      <c r="D38" s="413" t="s">
        <v>436</v>
      </c>
      <c r="E38" s="414"/>
      <c r="F38" s="414"/>
      <c r="G38" s="414"/>
      <c r="H38" s="414"/>
      <c r="I38" s="414"/>
      <c r="J38" s="414"/>
      <c r="K38" s="414"/>
      <c r="L38" s="414"/>
      <c r="M38" s="414"/>
      <c r="P38" s="236"/>
      <c r="Q38" s="236"/>
    </row>
    <row r="39" spans="1:17" ht="14.1" customHeight="1" x14ac:dyDescent="0.2">
      <c r="A39" s="236"/>
      <c r="C39" s="73"/>
      <c r="D39" s="415"/>
      <c r="E39" s="416"/>
      <c r="F39" s="416"/>
      <c r="G39" s="416"/>
      <c r="H39" s="416"/>
      <c r="I39" s="416"/>
      <c r="J39" s="416"/>
      <c r="K39" s="416"/>
      <c r="L39" s="416"/>
      <c r="M39" s="417"/>
      <c r="P39" s="236"/>
      <c r="Q39" s="236"/>
    </row>
    <row r="40" spans="1:17" ht="14.1" customHeight="1" x14ac:dyDescent="0.2">
      <c r="A40" s="236"/>
      <c r="D40" s="415"/>
      <c r="E40" s="416"/>
      <c r="F40" s="416"/>
      <c r="G40" s="416"/>
      <c r="H40" s="416"/>
      <c r="I40" s="416"/>
      <c r="J40" s="416"/>
      <c r="K40" s="416"/>
      <c r="L40" s="416"/>
      <c r="M40" s="417"/>
      <c r="P40" s="236"/>
      <c r="Q40" s="236"/>
    </row>
    <row r="41" spans="1:17" ht="14.1" customHeight="1" x14ac:dyDescent="0.2">
      <c r="A41" s="236"/>
      <c r="D41" s="415"/>
      <c r="E41" s="416"/>
      <c r="F41" s="416"/>
      <c r="G41" s="416"/>
      <c r="H41" s="416"/>
      <c r="I41" s="416"/>
      <c r="J41" s="416"/>
      <c r="K41" s="416"/>
      <c r="L41" s="416"/>
      <c r="M41" s="417"/>
      <c r="P41" s="236"/>
      <c r="Q41" s="236"/>
    </row>
    <row r="42" spans="1:17" ht="14.1" customHeight="1" x14ac:dyDescent="0.2">
      <c r="A42" s="236"/>
      <c r="D42" s="415"/>
      <c r="E42" s="416"/>
      <c r="F42" s="416"/>
      <c r="G42" s="416"/>
      <c r="H42" s="416"/>
      <c r="I42" s="416"/>
      <c r="J42" s="416"/>
      <c r="K42" s="416"/>
      <c r="L42" s="416"/>
      <c r="M42" s="417"/>
      <c r="P42" s="236"/>
      <c r="Q42" s="236"/>
    </row>
    <row r="43" spans="1:17" ht="14.1" customHeight="1" x14ac:dyDescent="0.2">
      <c r="A43" s="236"/>
      <c r="D43" s="415"/>
      <c r="E43" s="416"/>
      <c r="F43" s="416"/>
      <c r="G43" s="416"/>
      <c r="H43" s="416"/>
      <c r="I43" s="416"/>
      <c r="J43" s="416"/>
      <c r="K43" s="416"/>
      <c r="L43" s="416"/>
      <c r="M43" s="417"/>
      <c r="P43" s="236"/>
      <c r="Q43" s="236"/>
    </row>
    <row r="44" spans="1:17" ht="14.1" customHeight="1" x14ac:dyDescent="0.2">
      <c r="A44" s="236"/>
      <c r="D44" s="415"/>
      <c r="E44" s="416"/>
      <c r="F44" s="416"/>
      <c r="G44" s="416"/>
      <c r="H44" s="416"/>
      <c r="I44" s="416"/>
      <c r="J44" s="416"/>
      <c r="K44" s="416"/>
      <c r="L44" s="416"/>
      <c r="M44" s="417"/>
      <c r="P44" s="236"/>
      <c r="Q44" s="236"/>
    </row>
    <row r="45" spans="1:17" ht="14.1" customHeight="1" x14ac:dyDescent="0.2">
      <c r="A45" s="236"/>
      <c r="C45" s="1"/>
      <c r="D45" s="415"/>
      <c r="E45" s="416"/>
      <c r="F45" s="416"/>
      <c r="G45" s="416"/>
      <c r="H45" s="416"/>
      <c r="I45" s="416"/>
      <c r="J45" s="416"/>
      <c r="K45" s="416"/>
      <c r="L45" s="416"/>
      <c r="M45" s="417"/>
      <c r="P45" s="236"/>
      <c r="Q45" s="236"/>
    </row>
    <row r="46" spans="1:17" ht="14.1" customHeight="1" x14ac:dyDescent="0.2">
      <c r="A46" s="236"/>
      <c r="C46" s="1"/>
      <c r="D46" s="415"/>
      <c r="E46" s="416"/>
      <c r="F46" s="416"/>
      <c r="G46" s="416"/>
      <c r="H46" s="416"/>
      <c r="I46" s="416"/>
      <c r="J46" s="416"/>
      <c r="K46" s="416"/>
      <c r="L46" s="416"/>
      <c r="M46" s="417"/>
      <c r="P46" s="236"/>
      <c r="Q46" s="236"/>
    </row>
    <row r="47" spans="1:17" ht="14.1" customHeight="1" x14ac:dyDescent="0.2">
      <c r="A47" s="236"/>
      <c r="C47" s="1"/>
      <c r="D47" s="415"/>
      <c r="E47" s="416"/>
      <c r="F47" s="416"/>
      <c r="G47" s="416"/>
      <c r="H47" s="416"/>
      <c r="I47" s="416"/>
      <c r="J47" s="416"/>
      <c r="K47" s="416"/>
      <c r="L47" s="416"/>
      <c r="M47" s="417"/>
      <c r="P47" s="236"/>
      <c r="Q47" s="236"/>
    </row>
    <row r="48" spans="1:17" ht="10.5" customHeight="1" x14ac:dyDescent="0.2">
      <c r="A48" s="235"/>
      <c r="B48" s="235"/>
      <c r="C48" s="72"/>
      <c r="D48" s="404" t="s">
        <v>220</v>
      </c>
      <c r="E48" s="405"/>
      <c r="F48" s="405"/>
      <c r="G48" s="406"/>
      <c r="H48" s="404" t="s">
        <v>210</v>
      </c>
      <c r="I48" s="406"/>
      <c r="J48" s="404" t="s">
        <v>193</v>
      </c>
      <c r="K48" s="405"/>
      <c r="L48" s="405"/>
      <c r="M48" s="406"/>
      <c r="N48" s="72"/>
      <c r="O48" s="235"/>
      <c r="P48" s="235"/>
      <c r="Q48" s="235"/>
    </row>
    <row r="49" spans="1:17" ht="12.95" customHeight="1" x14ac:dyDescent="0.2">
      <c r="A49" s="236"/>
      <c r="D49" s="399" t="s">
        <v>587</v>
      </c>
      <c r="E49" s="400"/>
      <c r="F49" s="400"/>
      <c r="G49" s="401"/>
      <c r="H49" s="399" t="s">
        <v>588</v>
      </c>
      <c r="I49" s="401"/>
      <c r="J49" s="430" t="s">
        <v>589</v>
      </c>
      <c r="K49" s="400"/>
      <c r="L49" s="400"/>
      <c r="M49" s="401"/>
      <c r="P49" s="236"/>
      <c r="Q49" s="236"/>
    </row>
    <row r="50" spans="1:17" ht="10.5" customHeight="1" x14ac:dyDescent="0.2">
      <c r="A50" s="235"/>
      <c r="B50" s="235"/>
      <c r="C50" s="72"/>
      <c r="D50" s="404" t="s">
        <v>47</v>
      </c>
      <c r="E50" s="405"/>
      <c r="F50" s="405"/>
      <c r="G50" s="406"/>
      <c r="H50" s="9" t="s">
        <v>44</v>
      </c>
      <c r="I50" s="10"/>
      <c r="J50" s="6" t="s">
        <v>191</v>
      </c>
      <c r="K50" s="404" t="s">
        <v>42</v>
      </c>
      <c r="L50" s="405"/>
      <c r="M50" s="406"/>
      <c r="N50" s="72"/>
      <c r="O50" s="235"/>
      <c r="P50" s="235"/>
      <c r="Q50" s="235"/>
    </row>
    <row r="51" spans="1:17" ht="12.95" customHeight="1" x14ac:dyDescent="0.2">
      <c r="A51" s="236"/>
      <c r="D51" s="399" t="s">
        <v>590</v>
      </c>
      <c r="E51" s="400"/>
      <c r="F51" s="400"/>
      <c r="G51" s="401"/>
      <c r="H51" s="432" t="s">
        <v>591</v>
      </c>
      <c r="I51" s="433"/>
      <c r="J51" s="301" t="s">
        <v>592</v>
      </c>
      <c r="K51" s="427" t="s">
        <v>593</v>
      </c>
      <c r="L51" s="428"/>
      <c r="M51" s="429"/>
      <c r="P51" s="236"/>
      <c r="Q51" s="236"/>
    </row>
    <row r="52" spans="1:17" ht="10.5" customHeight="1" x14ac:dyDescent="0.2">
      <c r="A52" s="236"/>
      <c r="C52" s="72"/>
      <c r="D52" s="404" t="s">
        <v>345</v>
      </c>
      <c r="E52" s="431"/>
      <c r="F52" s="405" t="s">
        <v>346</v>
      </c>
      <c r="G52" s="431"/>
      <c r="H52" s="404" t="s">
        <v>48</v>
      </c>
      <c r="I52" s="406"/>
      <c r="J52" s="404" t="s">
        <v>334</v>
      </c>
      <c r="K52" s="405"/>
      <c r="L52" s="405"/>
      <c r="M52" s="406"/>
      <c r="P52" s="236"/>
      <c r="Q52" s="236"/>
    </row>
    <row r="53" spans="1:17" ht="12.95" customHeight="1" x14ac:dyDescent="0.2">
      <c r="A53" s="236"/>
      <c r="D53" s="399" t="s">
        <v>594</v>
      </c>
      <c r="E53" s="403"/>
      <c r="F53" s="400" t="s">
        <v>595</v>
      </c>
      <c r="G53" s="403"/>
      <c r="H53" s="399" t="s">
        <v>596</v>
      </c>
      <c r="I53" s="401"/>
      <c r="J53" s="427" t="s">
        <v>597</v>
      </c>
      <c r="K53" s="428"/>
      <c r="L53" s="428"/>
      <c r="M53" s="429"/>
      <c r="P53" s="236"/>
      <c r="Q53" s="236"/>
    </row>
    <row r="54" spans="1:17" ht="10.5" customHeight="1" x14ac:dyDescent="0.2">
      <c r="A54" s="236"/>
      <c r="D54" s="404" t="s">
        <v>338</v>
      </c>
      <c r="E54" s="405"/>
      <c r="F54" s="405"/>
      <c r="G54" s="406"/>
      <c r="H54" s="404" t="s">
        <v>298</v>
      </c>
      <c r="I54" s="405"/>
      <c r="J54" s="405"/>
      <c r="K54" s="405"/>
      <c r="L54" s="405"/>
      <c r="M54" s="406"/>
      <c r="P54" s="236"/>
      <c r="Q54" s="236"/>
    </row>
    <row r="55" spans="1:17" ht="12.95" customHeight="1" x14ac:dyDescent="0.2">
      <c r="A55" s="236"/>
      <c r="D55" s="427" t="s">
        <v>598</v>
      </c>
      <c r="E55" s="428"/>
      <c r="F55" s="428"/>
      <c r="G55" s="429"/>
      <c r="H55" s="427" t="e" vm="1">
        <v>#VALUE!</v>
      </c>
      <c r="I55" s="428"/>
      <c r="J55" s="428"/>
      <c r="K55" s="428"/>
      <c r="L55" s="428"/>
      <c r="M55" s="429"/>
      <c r="P55" s="236"/>
      <c r="Q55" s="236"/>
    </row>
    <row r="56" spans="1:17" ht="15.75" customHeight="1" x14ac:dyDescent="0.2">
      <c r="A56" s="236"/>
      <c r="D56" s="74"/>
      <c r="J56" s="308" t="s">
        <v>580</v>
      </c>
      <c r="K56" s="75"/>
      <c r="L56" s="75"/>
      <c r="M56" s="310" t="s">
        <v>582</v>
      </c>
      <c r="P56" s="236"/>
      <c r="Q56" s="236"/>
    </row>
    <row r="57" spans="1:17" s="236" customFormat="1" ht="8.25" customHeight="1" x14ac:dyDescent="0.2"/>
    <row r="58" spans="1:17" x14ac:dyDescent="0.2">
      <c r="A58" s="236"/>
      <c r="C58" s="236"/>
      <c r="D58" s="236"/>
      <c r="E58" s="236"/>
      <c r="F58" s="236"/>
      <c r="G58" s="236"/>
      <c r="H58" s="236"/>
      <c r="I58" s="236"/>
      <c r="J58" s="236"/>
      <c r="K58" s="236"/>
      <c r="L58" s="236"/>
      <c r="M58" s="236"/>
      <c r="N58" s="236"/>
      <c r="P58" s="236"/>
      <c r="Q58" s="236"/>
    </row>
  </sheetData>
  <mergeCells count="73">
    <mergeCell ref="K32:M32"/>
    <mergeCell ref="D19:E19"/>
    <mergeCell ref="D15:G15"/>
    <mergeCell ref="H15:I15"/>
    <mergeCell ref="K30:M30"/>
    <mergeCell ref="K31:M31"/>
    <mergeCell ref="H19:I19"/>
    <mergeCell ref="K28:M28"/>
    <mergeCell ref="D20:M20"/>
    <mergeCell ref="K29:M29"/>
    <mergeCell ref="K23:M23"/>
    <mergeCell ref="F19:G19"/>
    <mergeCell ref="K19:L19"/>
    <mergeCell ref="K22:M22"/>
    <mergeCell ref="K24:M24"/>
    <mergeCell ref="K25:M25"/>
    <mergeCell ref="D55:G55"/>
    <mergeCell ref="H54:M54"/>
    <mergeCell ref="H55:M55"/>
    <mergeCell ref="D48:G48"/>
    <mergeCell ref="D49:G49"/>
    <mergeCell ref="J49:M49"/>
    <mergeCell ref="J53:M53"/>
    <mergeCell ref="J52:M52"/>
    <mergeCell ref="H52:I52"/>
    <mergeCell ref="D53:E53"/>
    <mergeCell ref="D52:E52"/>
    <mergeCell ref="F52:G52"/>
    <mergeCell ref="F53:G53"/>
    <mergeCell ref="H53:I53"/>
    <mergeCell ref="H51:I51"/>
    <mergeCell ref="K51:M51"/>
    <mergeCell ref="I5:L5"/>
    <mergeCell ref="K10:M10"/>
    <mergeCell ref="H11:I11"/>
    <mergeCell ref="K11:M11"/>
    <mergeCell ref="D54:G54"/>
    <mergeCell ref="K35:M35"/>
    <mergeCell ref="K34:M34"/>
    <mergeCell ref="K27:M27"/>
    <mergeCell ref="D21:J21"/>
    <mergeCell ref="K21:M21"/>
    <mergeCell ref="K26:M26"/>
    <mergeCell ref="D41:M41"/>
    <mergeCell ref="K37:M37"/>
    <mergeCell ref="D37:I37"/>
    <mergeCell ref="K33:M33"/>
    <mergeCell ref="D40:M40"/>
    <mergeCell ref="D51:G51"/>
    <mergeCell ref="D38:M38"/>
    <mergeCell ref="D46:M46"/>
    <mergeCell ref="H49:I49"/>
    <mergeCell ref="K50:M50"/>
    <mergeCell ref="H48:I48"/>
    <mergeCell ref="D42:M42"/>
    <mergeCell ref="D45:M45"/>
    <mergeCell ref="D50:G50"/>
    <mergeCell ref="D44:M44"/>
    <mergeCell ref="J48:M48"/>
    <mergeCell ref="D47:M47"/>
    <mergeCell ref="D43:M43"/>
    <mergeCell ref="D39:M39"/>
    <mergeCell ref="C10:C11"/>
    <mergeCell ref="D11:G11"/>
    <mergeCell ref="D13:G13"/>
    <mergeCell ref="D17:H17"/>
    <mergeCell ref="K12:M12"/>
    <mergeCell ref="K14:M14"/>
    <mergeCell ref="K13:M13"/>
    <mergeCell ref="H13:I13"/>
    <mergeCell ref="J17:M17"/>
    <mergeCell ref="J16:M16"/>
    <mergeCell ref="K15:M15"/>
  </mergeCells>
  <phoneticPr fontId="0" type="noConversion"/>
  <dataValidations count="1">
    <dataValidation allowBlank="1" showInputMessage="1" showErrorMessage="1" errorTitle="Besiktningskategori" error="Skall vara mellan 1-5" sqref="F23:F36 E23:E35" xr:uid="{00000000-0002-0000-0100-000000000000}"/>
  </dataValidations>
  <hyperlinks>
    <hyperlink ref="J49" r:id="rId1" xr:uid="{A3D3D70B-BDA9-714D-ADAC-D16E7A2F2A52}"/>
  </hyperlinks>
  <printOptions horizontalCentered="1" verticalCentered="1"/>
  <pageMargins left="0.39370078740157483" right="0" top="0" bottom="0" header="0.15748031496062992" footer="0.23622047244094491"/>
  <pageSetup paperSize="9" orientation="portrait" r:id="rId2"/>
  <headerFooter alignWithMargins="0">
    <oddFooter>&amp;L&amp;8FunkiS&amp;R&amp;8v 1.1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Check Box 1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36</xdr:row>
                    <xdr:rowOff>0</xdr:rowOff>
                  </from>
                  <to>
                    <xdr:col>9</xdr:col>
                    <xdr:colOff>504825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Check Box 2">
              <controlPr locked="0" defaultSize="0" autoFill="0" autoLine="0" autoPict="0">
                <anchor moveWithCells="1">
                  <from>
                    <xdr:col>10</xdr:col>
                    <xdr:colOff>104775</xdr:colOff>
                    <xdr:row>36</xdr:row>
                    <xdr:rowOff>0</xdr:rowOff>
                  </from>
                  <to>
                    <xdr:col>12</xdr:col>
                    <xdr:colOff>28575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7" name="Button 34">
              <controlPr defaultSize="0" print="0" autoFill="0" autoPict="0" macro="[0]!IdentifyButtons">
                <anchor moveWithCells="1">
                  <from>
                    <xdr:col>0</xdr:col>
                    <xdr:colOff>219075</xdr:colOff>
                    <xdr:row>22</xdr:row>
                    <xdr:rowOff>28575</xdr:rowOff>
                  </from>
                  <to>
                    <xdr:col>2</xdr:col>
                    <xdr:colOff>152400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8" name="Button 36">
              <controlPr defaultSize="0" print="0" autoFill="0" autoPict="0" macro="[0]!IdentifyButtons">
                <anchor moveWithCells="1" sizeWithCells="1">
                  <from>
                    <xdr:col>0</xdr:col>
                    <xdr:colOff>219075</xdr:colOff>
                    <xdr:row>23</xdr:row>
                    <xdr:rowOff>28575</xdr:rowOff>
                  </from>
                  <to>
                    <xdr:col>2</xdr:col>
                    <xdr:colOff>152400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9" name="Button 37">
              <controlPr defaultSize="0" print="0" autoFill="0" autoPict="0" macro="[0]!IdentifyButtons">
                <anchor moveWithCells="1" sizeWithCells="1">
                  <from>
                    <xdr:col>0</xdr:col>
                    <xdr:colOff>219075</xdr:colOff>
                    <xdr:row>24</xdr:row>
                    <xdr:rowOff>28575</xdr:rowOff>
                  </from>
                  <to>
                    <xdr:col>2</xdr:col>
                    <xdr:colOff>152400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10" name="Button 38">
              <controlPr defaultSize="0" print="0" autoFill="0" autoPict="0" macro="[0]!IdentifyButtons">
                <anchor moveWithCells="1" sizeWithCells="1">
                  <from>
                    <xdr:col>0</xdr:col>
                    <xdr:colOff>219075</xdr:colOff>
                    <xdr:row>25</xdr:row>
                    <xdr:rowOff>28575</xdr:rowOff>
                  </from>
                  <to>
                    <xdr:col>2</xdr:col>
                    <xdr:colOff>152400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11" name="Button 39">
              <controlPr defaultSize="0" print="0" autoFill="0" autoPict="0" macro="[0]!IdentifyButtons">
                <anchor moveWithCells="1" sizeWithCells="1">
                  <from>
                    <xdr:col>0</xdr:col>
                    <xdr:colOff>219075</xdr:colOff>
                    <xdr:row>26</xdr:row>
                    <xdr:rowOff>28575</xdr:rowOff>
                  </from>
                  <to>
                    <xdr:col>2</xdr:col>
                    <xdr:colOff>152400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12" name="Button 40">
              <controlPr defaultSize="0" print="0" autoFill="0" autoPict="0" macro="[0]!IdentifyButtons">
                <anchor moveWithCells="1" sizeWithCells="1">
                  <from>
                    <xdr:col>0</xdr:col>
                    <xdr:colOff>219075</xdr:colOff>
                    <xdr:row>27</xdr:row>
                    <xdr:rowOff>28575</xdr:rowOff>
                  </from>
                  <to>
                    <xdr:col>2</xdr:col>
                    <xdr:colOff>152400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13" name="Button 41">
              <controlPr defaultSize="0" print="0" autoFill="0" autoPict="0" macro="[0]!IdentifyButtons">
                <anchor moveWithCells="1" sizeWithCells="1">
                  <from>
                    <xdr:col>0</xdr:col>
                    <xdr:colOff>219075</xdr:colOff>
                    <xdr:row>28</xdr:row>
                    <xdr:rowOff>28575</xdr:rowOff>
                  </from>
                  <to>
                    <xdr:col>2</xdr:col>
                    <xdr:colOff>152400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14" name="Button 42">
              <controlPr defaultSize="0" print="0" autoFill="0" autoPict="0" macro="[0]!IdentifyButtons">
                <anchor moveWithCells="1" sizeWithCells="1">
                  <from>
                    <xdr:col>0</xdr:col>
                    <xdr:colOff>219075</xdr:colOff>
                    <xdr:row>29</xdr:row>
                    <xdr:rowOff>28575</xdr:rowOff>
                  </from>
                  <to>
                    <xdr:col>2</xdr:col>
                    <xdr:colOff>152400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15" name="Button 43">
              <controlPr defaultSize="0" print="0" autoFill="0" autoPict="0" macro="[0]!IdentifyButtons">
                <anchor moveWithCells="1" sizeWithCells="1">
                  <from>
                    <xdr:col>0</xdr:col>
                    <xdr:colOff>219075</xdr:colOff>
                    <xdr:row>30</xdr:row>
                    <xdr:rowOff>28575</xdr:rowOff>
                  </from>
                  <to>
                    <xdr:col>2</xdr:col>
                    <xdr:colOff>152400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16" name="Button 44">
              <controlPr defaultSize="0" print="0" autoFill="0" autoPict="0" macro="[0]!IdentifyButtons">
                <anchor moveWithCells="1" sizeWithCells="1">
                  <from>
                    <xdr:col>0</xdr:col>
                    <xdr:colOff>219075</xdr:colOff>
                    <xdr:row>31</xdr:row>
                    <xdr:rowOff>28575</xdr:rowOff>
                  </from>
                  <to>
                    <xdr:col>2</xdr:col>
                    <xdr:colOff>152400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17" name="Button 45">
              <controlPr defaultSize="0" print="0" autoFill="0" autoPict="0" macro="[0]!IdentifyButtons">
                <anchor moveWithCells="1" sizeWithCells="1">
                  <from>
                    <xdr:col>0</xdr:col>
                    <xdr:colOff>219075</xdr:colOff>
                    <xdr:row>32</xdr:row>
                    <xdr:rowOff>28575</xdr:rowOff>
                  </from>
                  <to>
                    <xdr:col>2</xdr:col>
                    <xdr:colOff>152400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8" r:id="rId18" name="Button 46">
              <controlPr defaultSize="0" print="0" autoFill="0" autoPict="0" macro="[0]!IdentifyButtons">
                <anchor moveWithCells="1" sizeWithCells="1">
                  <from>
                    <xdr:col>0</xdr:col>
                    <xdr:colOff>219075</xdr:colOff>
                    <xdr:row>33</xdr:row>
                    <xdr:rowOff>28575</xdr:rowOff>
                  </from>
                  <to>
                    <xdr:col>2</xdr:col>
                    <xdr:colOff>152400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19" name="Button 47">
              <controlPr defaultSize="0" print="0" autoFill="0" autoPict="0" macro="[0]!IdentifyButtons">
                <anchor moveWithCells="1" sizeWithCells="1">
                  <from>
                    <xdr:col>0</xdr:col>
                    <xdr:colOff>219075</xdr:colOff>
                    <xdr:row>34</xdr:row>
                    <xdr:rowOff>28575</xdr:rowOff>
                  </from>
                  <to>
                    <xdr:col>2</xdr:col>
                    <xdr:colOff>152400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8" r:id="rId20" name="Button 56">
              <controlPr defaultSize="0" print="0" autoFill="0" autoPict="0" macro="[0]!IdentifyButtons">
                <anchor moveWithCells="1" sizeWithCells="1">
                  <from>
                    <xdr:col>13</xdr:col>
                    <xdr:colOff>47625</xdr:colOff>
                    <xdr:row>22</xdr:row>
                    <xdr:rowOff>28575</xdr:rowOff>
                  </from>
                  <to>
                    <xdr:col>15</xdr:col>
                    <xdr:colOff>533400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" r:id="rId21" name="Button 61">
              <controlPr defaultSize="0" print="0" autoFill="0" autoPict="0" macro="[0]!IdentifyButtons">
                <anchor moveWithCells="1" sizeWithCells="1">
                  <from>
                    <xdr:col>13</xdr:col>
                    <xdr:colOff>47625</xdr:colOff>
                    <xdr:row>26</xdr:row>
                    <xdr:rowOff>28575</xdr:rowOff>
                  </from>
                  <to>
                    <xdr:col>15</xdr:col>
                    <xdr:colOff>533400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22" name="Button 62">
              <controlPr defaultSize="0" print="0" autoFill="0" autoPict="0" macro="[0]!IdentifyButtons">
                <anchor moveWithCells="1" sizeWithCells="1">
                  <from>
                    <xdr:col>13</xdr:col>
                    <xdr:colOff>47625</xdr:colOff>
                    <xdr:row>27</xdr:row>
                    <xdr:rowOff>28575</xdr:rowOff>
                  </from>
                  <to>
                    <xdr:col>15</xdr:col>
                    <xdr:colOff>533400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5" r:id="rId23" name="Button 63">
              <controlPr defaultSize="0" print="0" autoFill="0" autoPict="0" macro="[0]!IdentifyButtons">
                <anchor moveWithCells="1" sizeWithCells="1">
                  <from>
                    <xdr:col>13</xdr:col>
                    <xdr:colOff>47625</xdr:colOff>
                    <xdr:row>28</xdr:row>
                    <xdr:rowOff>28575</xdr:rowOff>
                  </from>
                  <to>
                    <xdr:col>15</xdr:col>
                    <xdr:colOff>533400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6" r:id="rId24" name="Button 64">
              <controlPr defaultSize="0" print="0" autoFill="0" autoPict="0" macro="[0]!IdentifyButtons">
                <anchor moveWithCells="1" sizeWithCells="1">
                  <from>
                    <xdr:col>13</xdr:col>
                    <xdr:colOff>47625</xdr:colOff>
                    <xdr:row>29</xdr:row>
                    <xdr:rowOff>28575</xdr:rowOff>
                  </from>
                  <to>
                    <xdr:col>15</xdr:col>
                    <xdr:colOff>533400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7" r:id="rId25" name="Button 65">
              <controlPr defaultSize="0" print="0" autoFill="0" autoPict="0" macro="[0]!IdentifyButtons">
                <anchor moveWithCells="1" sizeWithCells="1">
                  <from>
                    <xdr:col>13</xdr:col>
                    <xdr:colOff>47625</xdr:colOff>
                    <xdr:row>30</xdr:row>
                    <xdr:rowOff>28575</xdr:rowOff>
                  </from>
                  <to>
                    <xdr:col>15</xdr:col>
                    <xdr:colOff>533400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8" r:id="rId26" name="Button 66">
              <controlPr defaultSize="0" print="0" autoFill="0" autoPict="0" macro="[0]!IdentifyButtons">
                <anchor moveWithCells="1" sizeWithCells="1">
                  <from>
                    <xdr:col>13</xdr:col>
                    <xdr:colOff>47625</xdr:colOff>
                    <xdr:row>31</xdr:row>
                    <xdr:rowOff>28575</xdr:rowOff>
                  </from>
                  <to>
                    <xdr:col>15</xdr:col>
                    <xdr:colOff>533400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27" name="Button 67">
              <controlPr defaultSize="0" print="0" autoFill="0" autoPict="0" macro="[0]!IdentifyButtons">
                <anchor moveWithCells="1" sizeWithCells="1">
                  <from>
                    <xdr:col>13</xdr:col>
                    <xdr:colOff>47625</xdr:colOff>
                    <xdr:row>32</xdr:row>
                    <xdr:rowOff>28575</xdr:rowOff>
                  </from>
                  <to>
                    <xdr:col>15</xdr:col>
                    <xdr:colOff>533400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0" r:id="rId28" name="Button 68">
              <controlPr defaultSize="0" print="0" autoFill="0" autoPict="0" macro="[0]!IdentifyButtons">
                <anchor moveWithCells="1" sizeWithCells="1">
                  <from>
                    <xdr:col>13</xdr:col>
                    <xdr:colOff>47625</xdr:colOff>
                    <xdr:row>33</xdr:row>
                    <xdr:rowOff>28575</xdr:rowOff>
                  </from>
                  <to>
                    <xdr:col>15</xdr:col>
                    <xdr:colOff>533400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29" name="Button 69">
              <controlPr defaultSize="0" print="0" autoFill="0" autoPict="0" macro="[0]!IdentifyButtons">
                <anchor moveWithCells="1" sizeWithCells="1">
                  <from>
                    <xdr:col>13</xdr:col>
                    <xdr:colOff>47625</xdr:colOff>
                    <xdr:row>34</xdr:row>
                    <xdr:rowOff>28575</xdr:rowOff>
                  </from>
                  <to>
                    <xdr:col>15</xdr:col>
                    <xdr:colOff>533400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30" name="Button 70">
              <controlPr defaultSize="0" print="0" autoFill="0" autoPict="0" macro="[0]!IdentifyButtons">
                <anchor moveWithCells="1" sizeWithCells="1">
                  <from>
                    <xdr:col>13</xdr:col>
                    <xdr:colOff>47625</xdr:colOff>
                    <xdr:row>23</xdr:row>
                    <xdr:rowOff>28575</xdr:rowOff>
                  </from>
                  <to>
                    <xdr:col>15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31" name="Button 71">
              <controlPr defaultSize="0" print="0" autoFill="0" autoPict="0" macro="[0]!IdentifyButtons">
                <anchor moveWithCells="1" sizeWithCells="1">
                  <from>
                    <xdr:col>13</xdr:col>
                    <xdr:colOff>47625</xdr:colOff>
                    <xdr:row>24</xdr:row>
                    <xdr:rowOff>28575</xdr:rowOff>
                  </from>
                  <to>
                    <xdr:col>15</xdr:col>
                    <xdr:colOff>533400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4" r:id="rId32" name="Button 72">
              <controlPr defaultSize="0" print="0" autoFill="0" autoPict="0" macro="[0]!IdentifyButtons">
                <anchor moveWithCells="1" sizeWithCells="1">
                  <from>
                    <xdr:col>13</xdr:col>
                    <xdr:colOff>47625</xdr:colOff>
                    <xdr:row>25</xdr:row>
                    <xdr:rowOff>28575</xdr:rowOff>
                  </from>
                  <to>
                    <xdr:col>15</xdr:col>
                    <xdr:colOff>533400</xdr:colOff>
                    <xdr:row>25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9F051-F835-42CA-9BDA-BD3D64427E07}">
  <sheetPr codeName="Blad4"/>
  <dimension ref="B1:M35"/>
  <sheetViews>
    <sheetView showGridLines="0" zoomScale="170" zoomScaleNormal="170" workbookViewId="0">
      <selection activeCell="E26" sqref="E26:J29"/>
    </sheetView>
  </sheetViews>
  <sheetFormatPr defaultColWidth="9.140625" defaultRowHeight="12.75" x14ac:dyDescent="0.2"/>
  <cols>
    <col min="1" max="1" width="7.42578125" style="194" customWidth="1"/>
    <col min="2" max="4" width="1.42578125" style="34" customWidth="1"/>
    <col min="5" max="5" width="12.42578125" style="34" customWidth="1"/>
    <col min="6" max="6" width="10" style="34" customWidth="1"/>
    <col min="7" max="7" width="18" style="34" customWidth="1"/>
    <col min="8" max="9" width="6.42578125" style="34" customWidth="1"/>
    <col min="10" max="10" width="14.42578125" style="34" customWidth="1"/>
    <col min="11" max="13" width="1.42578125" style="34" customWidth="1"/>
    <col min="14" max="14" width="7.42578125" style="194" customWidth="1"/>
    <col min="15" max="15" width="2.42578125" style="194" customWidth="1"/>
    <col min="16" max="17" width="2.140625" style="194" customWidth="1"/>
    <col min="18" max="25" width="9.140625" style="194"/>
    <col min="26" max="26" width="1.42578125" style="194" customWidth="1"/>
    <col min="27" max="28" width="2.42578125" style="194" customWidth="1"/>
    <col min="29" max="16384" width="9.140625" style="194"/>
  </cols>
  <sheetData>
    <row r="1" spans="2:13" ht="15.75" customHeight="1" x14ac:dyDescent="0.2"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</row>
    <row r="2" spans="2:13" ht="8.25" customHeight="1" x14ac:dyDescent="0.2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</row>
    <row r="3" spans="2:13" ht="12" customHeight="1" x14ac:dyDescent="0.2">
      <c r="B3" s="138"/>
      <c r="C3" s="189" t="s">
        <v>584</v>
      </c>
      <c r="D3" s="15"/>
      <c r="E3" s="15"/>
      <c r="F3" s="15"/>
      <c r="G3" s="15"/>
      <c r="H3" s="15"/>
      <c r="I3" s="15"/>
      <c r="J3" s="15"/>
      <c r="K3" s="15"/>
      <c r="L3" s="16"/>
      <c r="M3" s="138"/>
    </row>
    <row r="4" spans="2:13" ht="45.75" customHeight="1" x14ac:dyDescent="0.2">
      <c r="B4" s="138"/>
      <c r="C4" s="17"/>
      <c r="D4" s="437"/>
      <c r="E4" s="438" t="s">
        <v>259</v>
      </c>
      <c r="F4" s="439"/>
      <c r="G4" s="440"/>
      <c r="H4" s="441"/>
      <c r="I4" s="441"/>
      <c r="J4" s="441"/>
      <c r="K4" s="437"/>
      <c r="L4" s="18"/>
      <c r="M4" s="138"/>
    </row>
    <row r="5" spans="2:13" ht="14.1" customHeight="1" x14ac:dyDescent="0.2">
      <c r="B5" s="138"/>
      <c r="C5" s="17"/>
      <c r="D5" s="437"/>
      <c r="E5" s="445" t="s">
        <v>535</v>
      </c>
      <c r="F5" s="445"/>
      <c r="G5" s="445"/>
      <c r="H5" s="445"/>
      <c r="I5" s="445"/>
      <c r="J5" s="445"/>
      <c r="K5" s="437"/>
      <c r="L5" s="18"/>
      <c r="M5" s="138"/>
    </row>
    <row r="6" spans="2:13" ht="13.5" customHeight="1" x14ac:dyDescent="0.2">
      <c r="B6" s="138"/>
      <c r="C6" s="17"/>
      <c r="D6" s="437"/>
      <c r="E6" s="437" t="s">
        <v>559</v>
      </c>
      <c r="F6" s="437"/>
      <c r="G6" s="437"/>
      <c r="H6" s="437"/>
      <c r="I6" s="437"/>
      <c r="J6" s="437"/>
      <c r="K6" s="437"/>
      <c r="L6" s="18"/>
      <c r="M6" s="138"/>
    </row>
    <row r="7" spans="2:13" ht="15" customHeight="1" x14ac:dyDescent="0.2">
      <c r="B7" s="138"/>
      <c r="C7" s="17"/>
      <c r="D7" s="437"/>
      <c r="E7" s="437" t="s">
        <v>560</v>
      </c>
      <c r="F7" s="437"/>
      <c r="G7" s="437"/>
      <c r="H7" s="437"/>
      <c r="I7" s="437"/>
      <c r="J7" s="437"/>
      <c r="K7" s="437"/>
      <c r="L7" s="18"/>
      <c r="M7" s="138"/>
    </row>
    <row r="8" spans="2:13" ht="9.9499999999999993" customHeight="1" x14ac:dyDescent="0.2">
      <c r="B8" s="138"/>
      <c r="C8" s="17"/>
      <c r="D8" s="437"/>
      <c r="E8" s="446" t="s">
        <v>195</v>
      </c>
      <c r="F8" s="447"/>
      <c r="G8" s="447"/>
      <c r="H8" s="448" t="s">
        <v>347</v>
      </c>
      <c r="I8" s="449"/>
      <c r="J8" s="450"/>
      <c r="K8" s="437"/>
      <c r="L8" s="18"/>
      <c r="M8" s="138"/>
    </row>
    <row r="9" spans="2:13" ht="16.5" customHeight="1" x14ac:dyDescent="0.2">
      <c r="B9" s="138"/>
      <c r="C9" s="17"/>
      <c r="D9" s="437"/>
      <c r="E9" s="451" cm="1">
        <f t="array" aca="1" ref="E9" ca="1">IFERROR(INDIRECT(C3&amp;"!D11"),"")</f>
        <v>0</v>
      </c>
      <c r="F9" s="452"/>
      <c r="G9" s="452"/>
      <c r="H9" s="453">
        <f>A_Blankett!$H$11</f>
        <v>0</v>
      </c>
      <c r="I9" s="454"/>
      <c r="J9" s="455"/>
      <c r="K9" s="437"/>
      <c r="L9" s="18"/>
      <c r="M9" s="138"/>
    </row>
    <row r="10" spans="2:13" ht="9.9499999999999993" customHeight="1" x14ac:dyDescent="0.2">
      <c r="B10" s="138"/>
      <c r="C10" s="17"/>
      <c r="D10" s="437"/>
      <c r="E10" s="446" t="s">
        <v>341</v>
      </c>
      <c r="F10" s="447"/>
      <c r="G10" s="447"/>
      <c r="H10" s="447"/>
      <c r="I10" s="447"/>
      <c r="J10" s="456"/>
      <c r="K10" s="437"/>
      <c r="L10" s="18"/>
      <c r="M10" s="138"/>
    </row>
    <row r="11" spans="2:13" ht="16.5" customHeight="1" x14ac:dyDescent="0.2">
      <c r="B11" s="138"/>
      <c r="C11" s="17"/>
      <c r="D11" s="437"/>
      <c r="E11" s="190">
        <f ca="1">IFERROR(INDIRECT(C3&amp;"!k6"),"")</f>
        <v>0</v>
      </c>
      <c r="F11" s="191"/>
      <c r="G11" s="191"/>
      <c r="H11" s="191"/>
      <c r="I11" s="191"/>
      <c r="J11" s="152"/>
      <c r="K11" s="437"/>
      <c r="L11" s="18"/>
      <c r="M11" s="138"/>
    </row>
    <row r="12" spans="2:13" ht="12" customHeight="1" x14ac:dyDescent="0.2">
      <c r="B12" s="138"/>
      <c r="C12" s="17"/>
      <c r="D12" s="437"/>
      <c r="E12" s="457" t="s">
        <v>569</v>
      </c>
      <c r="F12" s="458"/>
      <c r="G12" s="458"/>
      <c r="H12" s="458"/>
      <c r="I12" s="458"/>
      <c r="J12" s="459"/>
      <c r="K12" s="437"/>
      <c r="L12" s="18"/>
      <c r="M12" s="138"/>
    </row>
    <row r="13" spans="2:13" ht="16.5" customHeight="1" x14ac:dyDescent="0.2">
      <c r="B13" s="138"/>
      <c r="C13" s="17"/>
      <c r="D13" s="437"/>
      <c r="E13" s="442"/>
      <c r="F13" s="443"/>
      <c r="G13" s="443"/>
      <c r="H13" s="443"/>
      <c r="I13" s="443"/>
      <c r="J13" s="444"/>
      <c r="K13" s="437"/>
      <c r="L13" s="18"/>
      <c r="M13" s="138"/>
    </row>
    <row r="14" spans="2:13" ht="9.9499999999999993" customHeight="1" x14ac:dyDescent="0.2">
      <c r="B14" s="138"/>
      <c r="C14" s="17"/>
      <c r="D14" s="437"/>
      <c r="E14" s="446" t="s">
        <v>220</v>
      </c>
      <c r="F14" s="456"/>
      <c r="G14" s="60" t="s">
        <v>218</v>
      </c>
      <c r="H14" s="446" t="s">
        <v>579</v>
      </c>
      <c r="I14" s="448"/>
      <c r="J14" s="470"/>
      <c r="K14" s="437"/>
      <c r="L14" s="18"/>
      <c r="M14" s="138"/>
    </row>
    <row r="15" spans="2:13" ht="16.5" customHeight="1" x14ac:dyDescent="0.2">
      <c r="B15" s="138"/>
      <c r="C15" s="17"/>
      <c r="D15" s="437"/>
      <c r="E15" s="471" t="str">
        <f>A_Blankett!$D$49</f>
        <v>Kristoffer Toivanen</v>
      </c>
      <c r="F15" s="455"/>
      <c r="G15" s="179" t="str">
        <f ca="1">A_Blankett!$F$23</f>
        <v/>
      </c>
      <c r="H15" s="472" t="str">
        <f ca="1">A_Blankett!$I$23</f>
        <v/>
      </c>
      <c r="I15" s="473"/>
      <c r="J15" s="474"/>
      <c r="K15" s="437"/>
      <c r="L15" s="18"/>
      <c r="M15" s="138"/>
    </row>
    <row r="16" spans="2:13" ht="9.9499999999999993" customHeight="1" x14ac:dyDescent="0.2">
      <c r="B16" s="138"/>
      <c r="C16" s="17"/>
      <c r="D16" s="437"/>
      <c r="E16" s="446" t="s">
        <v>47</v>
      </c>
      <c r="F16" s="447"/>
      <c r="G16" s="36" t="s">
        <v>334</v>
      </c>
      <c r="H16" s="151" t="s">
        <v>349</v>
      </c>
      <c r="I16" s="35"/>
      <c r="J16" s="154" t="s">
        <v>348</v>
      </c>
      <c r="K16" s="437"/>
      <c r="L16" s="18"/>
      <c r="M16" s="138"/>
    </row>
    <row r="17" spans="2:13" ht="16.5" customHeight="1" x14ac:dyDescent="0.2">
      <c r="B17" s="138"/>
      <c r="C17" s="17"/>
      <c r="D17" s="437"/>
      <c r="E17" s="471" t="str">
        <f>A_Blankett!$D$51</f>
        <v>KrÅs AB</v>
      </c>
      <c r="F17" s="474"/>
      <c r="G17" s="153" t="str">
        <f>A_Blankett!$J$53</f>
        <v>K</v>
      </c>
      <c r="H17" s="471" t="str">
        <f>A_Blankett!$D$53</f>
        <v>RISE</v>
      </c>
      <c r="I17" s="454"/>
      <c r="J17" s="152" t="str">
        <f>A_Blankett!$F$53</f>
        <v>C004798</v>
      </c>
      <c r="K17" s="437"/>
      <c r="L17" s="18"/>
      <c r="M17" s="138"/>
    </row>
    <row r="18" spans="2:13" ht="11.25" customHeight="1" x14ac:dyDescent="0.2">
      <c r="B18" s="138"/>
      <c r="C18" s="17"/>
      <c r="D18" s="437"/>
      <c r="E18" s="460"/>
      <c r="F18" s="460"/>
      <c r="G18" s="460"/>
      <c r="H18" s="460"/>
      <c r="I18" s="460"/>
      <c r="J18" s="460"/>
      <c r="K18" s="437"/>
      <c r="L18" s="18"/>
      <c r="M18" s="138"/>
    </row>
    <row r="19" spans="2:13" ht="14.1" customHeight="1" x14ac:dyDescent="0.2">
      <c r="B19" s="138"/>
      <c r="C19" s="17"/>
      <c r="D19" s="437"/>
      <c r="E19" s="445" t="s">
        <v>332</v>
      </c>
      <c r="F19" s="445"/>
      <c r="G19" s="445"/>
      <c r="H19" s="445"/>
      <c r="I19" s="445"/>
      <c r="J19" s="445"/>
      <c r="K19" s="437"/>
      <c r="L19" s="18"/>
      <c r="M19" s="138"/>
    </row>
    <row r="20" spans="2:13" ht="13.5" customHeight="1" x14ac:dyDescent="0.2">
      <c r="B20" s="138"/>
      <c r="C20" s="17"/>
      <c r="D20" s="437"/>
      <c r="E20" s="461" t="s">
        <v>228</v>
      </c>
      <c r="F20" s="462"/>
      <c r="G20" s="462"/>
      <c r="H20" s="462"/>
      <c r="I20" s="462"/>
      <c r="J20" s="463"/>
      <c r="K20" s="437"/>
      <c r="L20" s="18"/>
      <c r="M20" s="138"/>
    </row>
    <row r="21" spans="2:13" ht="15" customHeight="1" x14ac:dyDescent="0.2">
      <c r="B21" s="138"/>
      <c r="C21" s="17"/>
      <c r="D21" s="437"/>
      <c r="E21" s="464"/>
      <c r="F21" s="465"/>
      <c r="G21" s="465"/>
      <c r="H21" s="465"/>
      <c r="I21" s="465"/>
      <c r="J21" s="466"/>
      <c r="K21" s="437"/>
      <c r="L21" s="18"/>
      <c r="M21" s="138"/>
    </row>
    <row r="22" spans="2:13" ht="14.1" customHeight="1" x14ac:dyDescent="0.2">
      <c r="B22" s="138"/>
      <c r="C22" s="17"/>
      <c r="D22" s="437"/>
      <c r="E22" s="464"/>
      <c r="F22" s="465"/>
      <c r="G22" s="465"/>
      <c r="H22" s="465"/>
      <c r="I22" s="465"/>
      <c r="J22" s="466"/>
      <c r="K22" s="437"/>
      <c r="L22" s="18"/>
      <c r="M22" s="138"/>
    </row>
    <row r="23" spans="2:13" ht="15" customHeight="1" x14ac:dyDescent="0.2">
      <c r="B23" s="138"/>
      <c r="C23" s="17"/>
      <c r="D23" s="437"/>
      <c r="E23" s="467"/>
      <c r="F23" s="468"/>
      <c r="G23" s="468"/>
      <c r="H23" s="468"/>
      <c r="I23" s="468"/>
      <c r="J23" s="469"/>
      <c r="K23" s="437"/>
      <c r="L23" s="18"/>
      <c r="M23" s="138"/>
    </row>
    <row r="24" spans="2:13" ht="12" customHeight="1" x14ac:dyDescent="0.2">
      <c r="B24" s="138"/>
      <c r="C24" s="194"/>
      <c r="D24" s="194"/>
      <c r="E24" s="194"/>
      <c r="F24" s="194"/>
      <c r="G24" s="194"/>
      <c r="H24" s="194"/>
      <c r="I24" s="194"/>
      <c r="J24" s="194"/>
      <c r="K24" s="194"/>
      <c r="L24" s="194"/>
      <c r="M24" s="138"/>
    </row>
    <row r="25" spans="2:13" x14ac:dyDescent="0.2">
      <c r="B25" s="138"/>
      <c r="C25" s="194"/>
      <c r="D25" s="194"/>
      <c r="E25" s="194"/>
      <c r="F25" s="194"/>
      <c r="G25" s="194"/>
      <c r="H25" s="194"/>
      <c r="I25" s="194"/>
      <c r="J25" s="194"/>
      <c r="K25" s="194"/>
      <c r="L25" s="194"/>
      <c r="M25" s="138"/>
    </row>
    <row r="26" spans="2:13" x14ac:dyDescent="0.2">
      <c r="B26" s="138"/>
      <c r="E26" s="461" t="e" vm="1">
        <v>#VALUE!</v>
      </c>
      <c r="F26" s="462"/>
      <c r="G26" s="462"/>
      <c r="H26" s="462"/>
      <c r="I26" s="462"/>
      <c r="J26" s="463"/>
      <c r="M26" s="138"/>
    </row>
    <row r="27" spans="2:13" x14ac:dyDescent="0.2">
      <c r="B27" s="138"/>
      <c r="E27" s="464"/>
      <c r="F27" s="465"/>
      <c r="G27" s="465"/>
      <c r="H27" s="465"/>
      <c r="I27" s="465"/>
      <c r="J27" s="466"/>
      <c r="M27" s="138"/>
    </row>
    <row r="28" spans="2:13" x14ac:dyDescent="0.2">
      <c r="B28" s="138"/>
      <c r="E28" s="464"/>
      <c r="F28" s="465"/>
      <c r="G28" s="465"/>
      <c r="H28" s="465"/>
      <c r="I28" s="465"/>
      <c r="J28" s="466"/>
      <c r="M28" s="138"/>
    </row>
    <row r="29" spans="2:13" x14ac:dyDescent="0.2">
      <c r="B29" s="138"/>
      <c r="E29" s="467"/>
      <c r="F29" s="468"/>
      <c r="G29" s="468"/>
      <c r="H29" s="468"/>
      <c r="I29" s="468"/>
      <c r="J29" s="469"/>
      <c r="M29" s="138"/>
    </row>
    <row r="30" spans="2:13" x14ac:dyDescent="0.2">
      <c r="B30" s="138"/>
      <c r="M30" s="138"/>
    </row>
    <row r="31" spans="2:13" x14ac:dyDescent="0.2">
      <c r="B31" s="138"/>
      <c r="M31" s="138"/>
    </row>
    <row r="32" spans="2:13" x14ac:dyDescent="0.2">
      <c r="B32" s="138"/>
      <c r="M32" s="138"/>
    </row>
    <row r="33" spans="2:13" x14ac:dyDescent="0.2">
      <c r="B33" s="138"/>
      <c r="C33" s="19"/>
      <c r="D33" s="20"/>
      <c r="E33" s="20"/>
      <c r="F33" s="20"/>
      <c r="G33" s="20"/>
      <c r="H33" s="20"/>
      <c r="I33" s="20"/>
      <c r="J33" s="20"/>
      <c r="K33" s="20"/>
      <c r="L33" s="21"/>
      <c r="M33" s="138"/>
    </row>
    <row r="34" spans="2:13" x14ac:dyDescent="0.2">
      <c r="B34" s="138"/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</row>
    <row r="35" spans="2:13" x14ac:dyDescent="0.2">
      <c r="M35" s="311" t="s">
        <v>582</v>
      </c>
    </row>
  </sheetData>
  <mergeCells count="25">
    <mergeCell ref="E20:J23"/>
    <mergeCell ref="E26:J29"/>
    <mergeCell ref="E14:F14"/>
    <mergeCell ref="H14:J14"/>
    <mergeCell ref="E15:F15"/>
    <mergeCell ref="H15:J15"/>
    <mergeCell ref="E16:F16"/>
    <mergeCell ref="E17:F17"/>
    <mergeCell ref="H17:I17"/>
    <mergeCell ref="D4:D23"/>
    <mergeCell ref="E4:F4"/>
    <mergeCell ref="G4:J4"/>
    <mergeCell ref="E13:J13"/>
    <mergeCell ref="K4:K23"/>
    <mergeCell ref="E5:J5"/>
    <mergeCell ref="E6:J6"/>
    <mergeCell ref="E7:J7"/>
    <mergeCell ref="E8:G8"/>
    <mergeCell ref="H8:J8"/>
    <mergeCell ref="E9:G9"/>
    <mergeCell ref="H9:J9"/>
    <mergeCell ref="E10:J10"/>
    <mergeCell ref="E12:J12"/>
    <mergeCell ref="E18:J18"/>
    <mergeCell ref="E19:J19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17">
    <pageSetUpPr autoPageBreaks="0"/>
  </sheetPr>
  <dimension ref="A1:Y50"/>
  <sheetViews>
    <sheetView showGridLines="0" zoomScaleNormal="100" workbookViewId="0">
      <selection activeCell="AC44" sqref="AC44"/>
    </sheetView>
  </sheetViews>
  <sheetFormatPr defaultColWidth="9.140625" defaultRowHeight="12.75" x14ac:dyDescent="0.2"/>
  <cols>
    <col min="1" max="1" width="9.42578125" style="196" customWidth="1"/>
    <col min="2" max="2" width="1.42578125" style="196" customWidth="1"/>
    <col min="3" max="3" width="0.85546875" style="196" hidden="1" customWidth="1"/>
    <col min="4" max="4" width="3.140625" style="196" customWidth="1"/>
    <col min="5" max="5" width="6.42578125" style="196" customWidth="1"/>
    <col min="6" max="6" width="3.140625" style="196" customWidth="1"/>
    <col min="7" max="7" width="12.42578125" style="196" customWidth="1"/>
    <col min="8" max="8" width="3.85546875" style="196" customWidth="1"/>
    <col min="9" max="9" width="4.42578125" style="196" customWidth="1"/>
    <col min="10" max="10" width="3.42578125" style="196" customWidth="1"/>
    <col min="11" max="11" width="4.140625" style="196" customWidth="1"/>
    <col min="12" max="14" width="3.42578125" style="196" customWidth="1"/>
    <col min="15" max="16" width="4.42578125" style="196" customWidth="1"/>
    <col min="17" max="17" width="3.42578125" style="196" customWidth="1"/>
    <col min="18" max="18" width="4.42578125" style="196" customWidth="1"/>
    <col min="19" max="19" width="3" style="196" customWidth="1"/>
    <col min="20" max="20" width="3.42578125" style="196" customWidth="1"/>
    <col min="21" max="21" width="3" style="196" customWidth="1"/>
    <col min="22" max="22" width="4.42578125" style="196" customWidth="1"/>
    <col min="23" max="23" width="13.42578125" style="196" customWidth="1"/>
    <col min="24" max="24" width="1.42578125" style="196" customWidth="1"/>
    <col min="25" max="25" width="1.85546875" style="196" customWidth="1"/>
    <col min="26" max="16384" width="9.140625" style="196"/>
  </cols>
  <sheetData>
    <row r="1" spans="1:25" ht="9" customHeight="1" x14ac:dyDescent="0.2">
      <c r="A1" s="197"/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</row>
    <row r="2" spans="1:25" ht="15" customHeight="1" x14ac:dyDescent="0.25">
      <c r="A2" s="197"/>
      <c r="C2" s="197"/>
      <c r="D2" s="198"/>
      <c r="E2" s="541" t="s">
        <v>343</v>
      </c>
      <c r="F2" s="542"/>
      <c r="G2" s="542"/>
      <c r="H2" s="542"/>
      <c r="I2" s="542"/>
      <c r="J2" s="542"/>
      <c r="K2" s="538" t="s">
        <v>340</v>
      </c>
      <c r="L2" s="539"/>
      <c r="M2" s="539"/>
      <c r="N2" s="539"/>
      <c r="O2" s="539"/>
      <c r="P2" s="539"/>
      <c r="Q2" s="540"/>
      <c r="R2" s="538" t="s">
        <v>341</v>
      </c>
      <c r="S2" s="539"/>
      <c r="T2" s="539"/>
      <c r="U2" s="539"/>
      <c r="V2" s="540"/>
      <c r="W2" s="382" t="s">
        <v>221</v>
      </c>
      <c r="X2" s="197"/>
    </row>
    <row r="3" spans="1:25" ht="24.75" customHeight="1" x14ac:dyDescent="0.2">
      <c r="A3" s="197"/>
      <c r="D3" s="198"/>
      <c r="E3" s="535" t="s">
        <v>344</v>
      </c>
      <c r="F3" s="536"/>
      <c r="G3" s="536"/>
      <c r="H3" s="536"/>
      <c r="I3" s="536"/>
      <c r="J3" s="537"/>
      <c r="K3" s="385">
        <f>A_Blankett!I5</f>
        <v>0</v>
      </c>
      <c r="L3" s="543"/>
      <c r="M3" s="543"/>
      <c r="N3" s="543"/>
      <c r="O3" s="543"/>
      <c r="P3" s="543"/>
      <c r="Q3" s="544"/>
      <c r="R3" s="388"/>
      <c r="S3" s="545"/>
      <c r="T3" s="545"/>
      <c r="U3" s="545"/>
      <c r="V3" s="389"/>
      <c r="W3" s="383"/>
    </row>
    <row r="4" spans="1:25" ht="12" customHeight="1" x14ac:dyDescent="0.2">
      <c r="D4" s="502" t="s">
        <v>221</v>
      </c>
      <c r="E4" s="538" t="s">
        <v>195</v>
      </c>
      <c r="F4" s="539"/>
      <c r="G4" s="539"/>
      <c r="H4" s="539"/>
      <c r="I4" s="539"/>
      <c r="J4" s="540"/>
      <c r="K4" s="546" t="s">
        <v>255</v>
      </c>
      <c r="L4" s="547"/>
      <c r="M4" s="547"/>
      <c r="N4" s="547"/>
      <c r="O4" s="547"/>
      <c r="P4" s="547"/>
      <c r="Q4" s="548"/>
      <c r="R4" s="546" t="s">
        <v>233</v>
      </c>
      <c r="S4" s="547"/>
      <c r="T4" s="547"/>
      <c r="U4" s="547"/>
      <c r="V4" s="548"/>
      <c r="W4" s="199" t="s">
        <v>196</v>
      </c>
    </row>
    <row r="5" spans="1:25" ht="14.25" customHeight="1" x14ac:dyDescent="0.2">
      <c r="D5" s="502"/>
      <c r="E5" s="396"/>
      <c r="F5" s="503"/>
      <c r="G5" s="503"/>
      <c r="H5" s="503"/>
      <c r="I5" s="503"/>
      <c r="J5" s="397"/>
      <c r="K5" s="396">
        <f>A_Blankett!$D$19</f>
        <v>0</v>
      </c>
      <c r="L5" s="503"/>
      <c r="M5" s="503"/>
      <c r="N5" s="503"/>
      <c r="O5" s="503"/>
      <c r="P5" s="503"/>
      <c r="Q5" s="397"/>
      <c r="R5" s="396">
        <f>A_Blankett!$F$19</f>
        <v>0</v>
      </c>
      <c r="S5" s="503"/>
      <c r="T5" s="503"/>
      <c r="U5" s="503"/>
      <c r="V5" s="397"/>
      <c r="W5" s="200"/>
    </row>
    <row r="6" spans="1:25" ht="12" customHeight="1" x14ac:dyDescent="0.2">
      <c r="D6" s="502"/>
      <c r="E6" s="538" t="s">
        <v>297</v>
      </c>
      <c r="F6" s="539"/>
      <c r="G6" s="539"/>
      <c r="H6" s="540"/>
      <c r="I6" s="504" t="s">
        <v>585</v>
      </c>
      <c r="J6" s="505"/>
      <c r="K6" s="505"/>
      <c r="L6" s="506"/>
      <c r="M6" s="538" t="s">
        <v>208</v>
      </c>
      <c r="N6" s="539"/>
      <c r="O6" s="539"/>
      <c r="P6" s="539"/>
      <c r="Q6" s="540"/>
      <c r="R6" s="201" t="s">
        <v>197</v>
      </c>
      <c r="S6" s="202"/>
      <c r="T6" s="203" t="s">
        <v>335</v>
      </c>
      <c r="U6" s="203"/>
      <c r="V6" s="204"/>
      <c r="W6" s="205" t="s">
        <v>198</v>
      </c>
    </row>
    <row r="7" spans="1:25" ht="15" customHeight="1" x14ac:dyDescent="0.2">
      <c r="D7" s="502"/>
      <c r="E7" s="523"/>
      <c r="F7" s="524"/>
      <c r="G7" s="524"/>
      <c r="H7" s="525"/>
      <c r="I7" s="507"/>
      <c r="J7" s="508"/>
      <c r="K7" s="508"/>
      <c r="L7" s="509"/>
      <c r="M7" s="523"/>
      <c r="N7" s="552"/>
      <c r="O7" s="552"/>
      <c r="P7" s="552"/>
      <c r="Q7" s="553"/>
      <c r="R7" s="206"/>
      <c r="S7" s="206"/>
      <c r="T7" s="207"/>
      <c r="U7" s="207"/>
      <c r="V7" s="208"/>
      <c r="W7" s="209"/>
    </row>
    <row r="8" spans="1:25" ht="15" customHeight="1" x14ac:dyDescent="0.2">
      <c r="D8" s="210"/>
      <c r="E8" s="211"/>
      <c r="F8" s="211"/>
      <c r="G8" s="211"/>
      <c r="H8" s="211"/>
      <c r="I8" s="212"/>
      <c r="J8" s="212"/>
      <c r="K8" s="212"/>
      <c r="L8" s="212"/>
      <c r="M8" s="211"/>
      <c r="N8" s="213"/>
      <c r="O8" s="213"/>
      <c r="P8" s="213"/>
      <c r="Q8" s="213"/>
      <c r="R8" s="214"/>
      <c r="S8" s="214"/>
      <c r="W8" s="215"/>
    </row>
    <row r="9" spans="1:25" ht="15" customHeight="1" x14ac:dyDescent="0.2">
      <c r="D9" s="210"/>
      <c r="E9" s="510" t="s">
        <v>534</v>
      </c>
      <c r="F9" s="511"/>
      <c r="G9" s="511"/>
      <c r="H9" s="511"/>
      <c r="I9" s="511"/>
      <c r="J9" s="511"/>
      <c r="K9" s="511"/>
      <c r="L9" s="511"/>
      <c r="M9" s="511"/>
      <c r="N9" s="512"/>
      <c r="O9" s="530" t="s">
        <v>342</v>
      </c>
      <c r="P9" s="379"/>
      <c r="Q9" s="216"/>
      <c r="R9" s="519"/>
      <c r="S9" s="519"/>
      <c r="T9" s="519"/>
      <c r="U9" s="519"/>
      <c r="V9" s="519"/>
      <c r="W9" s="520"/>
    </row>
    <row r="10" spans="1:25" ht="15" customHeight="1" x14ac:dyDescent="0.2">
      <c r="D10" s="210"/>
      <c r="E10" s="531"/>
      <c r="F10" s="532"/>
      <c r="G10" s="532"/>
      <c r="H10" s="532"/>
      <c r="I10" s="532"/>
      <c r="J10" s="532"/>
      <c r="K10" s="532"/>
      <c r="L10" s="532"/>
      <c r="M10" s="532"/>
      <c r="N10" s="533"/>
      <c r="O10" s="549"/>
      <c r="P10" s="550"/>
      <c r="Q10" s="550"/>
      <c r="R10" s="550"/>
      <c r="S10" s="550"/>
      <c r="T10" s="550"/>
      <c r="U10" s="550"/>
      <c r="V10" s="550"/>
      <c r="W10" s="551"/>
    </row>
    <row r="11" spans="1:25" ht="20.100000000000001" customHeight="1" x14ac:dyDescent="0.2">
      <c r="D11" s="210"/>
      <c r="E11" s="523"/>
      <c r="F11" s="554"/>
      <c r="G11" s="554"/>
      <c r="H11" s="554"/>
      <c r="I11" s="554"/>
      <c r="J11" s="554"/>
      <c r="K11" s="554"/>
      <c r="L11" s="554"/>
      <c r="M11" s="554"/>
      <c r="N11" s="555"/>
      <c r="O11" s="552"/>
      <c r="P11" s="556"/>
      <c r="Q11" s="556"/>
      <c r="R11" s="556"/>
      <c r="S11" s="556"/>
      <c r="T11" s="556"/>
      <c r="U11" s="556"/>
      <c r="V11" s="556"/>
      <c r="W11" s="383"/>
    </row>
    <row r="12" spans="1:25" ht="12" customHeight="1" x14ac:dyDescent="0.25">
      <c r="D12" s="217"/>
      <c r="E12" s="207"/>
      <c r="F12" s="207"/>
      <c r="G12" s="207"/>
      <c r="H12" s="207"/>
      <c r="I12" s="207"/>
      <c r="J12" s="207"/>
      <c r="K12" s="207"/>
      <c r="L12" s="207"/>
      <c r="M12" s="207"/>
      <c r="N12" s="207"/>
      <c r="O12" s="207"/>
      <c r="P12" s="207"/>
      <c r="Q12" s="207"/>
      <c r="R12" s="207"/>
      <c r="S12" s="207"/>
      <c r="W12" s="207"/>
    </row>
    <row r="13" spans="1:25" s="218" customFormat="1" ht="13.5" customHeight="1" x14ac:dyDescent="0.2">
      <c r="A13" s="196"/>
      <c r="D13" s="210" t="s">
        <v>222</v>
      </c>
      <c r="E13" s="515"/>
      <c r="F13" s="516"/>
      <c r="G13" s="528"/>
      <c r="H13" s="529"/>
      <c r="I13" s="521" t="s">
        <v>223</v>
      </c>
      <c r="J13" s="522"/>
      <c r="K13" s="521" t="s">
        <v>224</v>
      </c>
      <c r="L13" s="522"/>
      <c r="M13" s="521" t="s">
        <v>225</v>
      </c>
      <c r="N13" s="522"/>
      <c r="O13" s="219" t="s">
        <v>226</v>
      </c>
      <c r="P13" s="521" t="s">
        <v>223</v>
      </c>
      <c r="Q13" s="522"/>
      <c r="R13" s="521" t="s">
        <v>199</v>
      </c>
      <c r="S13" s="522"/>
      <c r="T13" s="521" t="s">
        <v>227</v>
      </c>
      <c r="U13" s="522"/>
      <c r="V13" s="219" t="s">
        <v>226</v>
      </c>
      <c r="W13" s="517" t="s">
        <v>586</v>
      </c>
    </row>
    <row r="14" spans="1:25" s="220" customFormat="1" ht="9.75" customHeight="1" x14ac:dyDescent="0.2">
      <c r="A14" s="218"/>
      <c r="D14" s="221"/>
      <c r="E14" s="513" t="s">
        <v>229</v>
      </c>
      <c r="F14" s="514"/>
      <c r="G14" s="513" t="s">
        <v>230</v>
      </c>
      <c r="H14" s="514"/>
      <c r="I14" s="526" t="s">
        <v>231</v>
      </c>
      <c r="J14" s="527"/>
      <c r="K14" s="526" t="s">
        <v>200</v>
      </c>
      <c r="L14" s="527"/>
      <c r="M14" s="526" t="s">
        <v>200</v>
      </c>
      <c r="N14" s="527"/>
      <c r="O14" s="222" t="s">
        <v>232</v>
      </c>
      <c r="P14" s="526" t="s">
        <v>201</v>
      </c>
      <c r="Q14" s="527"/>
      <c r="R14" s="526" t="s">
        <v>201</v>
      </c>
      <c r="S14" s="527"/>
      <c r="T14" s="526" t="s">
        <v>201</v>
      </c>
      <c r="U14" s="527"/>
      <c r="V14" s="222" t="s">
        <v>232</v>
      </c>
      <c r="W14" s="518"/>
    </row>
    <row r="15" spans="1:25" s="220" customFormat="1" ht="20.100000000000001" customHeight="1" x14ac:dyDescent="0.2">
      <c r="D15" s="223">
        <v>1</v>
      </c>
      <c r="E15" s="486"/>
      <c r="F15" s="486"/>
      <c r="G15" s="486"/>
      <c r="H15" s="486"/>
      <c r="I15" s="495"/>
      <c r="J15" s="495"/>
      <c r="K15" s="495"/>
      <c r="L15" s="495"/>
      <c r="M15" s="487" t="str">
        <f t="shared" ref="M15:M34" si="0">IF(K15="","",IF(I15="","",K15/I15*100))</f>
        <v/>
      </c>
      <c r="N15" s="487"/>
      <c r="O15" s="224"/>
      <c r="P15" s="496"/>
      <c r="Q15" s="497"/>
      <c r="R15" s="495"/>
      <c r="S15" s="495"/>
      <c r="T15" s="487" t="str">
        <f t="shared" ref="T15:T34" si="1">IF(R15="","",IF(P15="","",R15/P15*100))</f>
        <v/>
      </c>
      <c r="U15" s="487"/>
      <c r="V15" s="224"/>
      <c r="W15" s="225"/>
    </row>
    <row r="16" spans="1:25" ht="20.100000000000001" customHeight="1" x14ac:dyDescent="0.2">
      <c r="A16" s="220"/>
      <c r="D16" s="223">
        <v>2</v>
      </c>
      <c r="E16" s="486"/>
      <c r="F16" s="486"/>
      <c r="G16" s="486"/>
      <c r="H16" s="486"/>
      <c r="I16" s="495"/>
      <c r="J16" s="495"/>
      <c r="K16" s="495"/>
      <c r="L16" s="495"/>
      <c r="M16" s="487" t="str">
        <f t="shared" si="0"/>
        <v/>
      </c>
      <c r="N16" s="487"/>
      <c r="O16" s="224"/>
      <c r="P16" s="495"/>
      <c r="Q16" s="495"/>
      <c r="R16" s="495"/>
      <c r="S16" s="495"/>
      <c r="T16" s="487" t="str">
        <f t="shared" si="1"/>
        <v/>
      </c>
      <c r="U16" s="487"/>
      <c r="V16" s="224"/>
      <c r="W16" s="225"/>
    </row>
    <row r="17" spans="1:23" ht="20.100000000000001" customHeight="1" x14ac:dyDescent="0.2">
      <c r="D17" s="223">
        <v>3</v>
      </c>
      <c r="E17" s="486"/>
      <c r="F17" s="486"/>
      <c r="G17" s="486"/>
      <c r="H17" s="486"/>
      <c r="I17" s="495"/>
      <c r="J17" s="495"/>
      <c r="K17" s="495"/>
      <c r="L17" s="495"/>
      <c r="M17" s="487" t="str">
        <f t="shared" si="0"/>
        <v/>
      </c>
      <c r="N17" s="487"/>
      <c r="O17" s="224"/>
      <c r="P17" s="495"/>
      <c r="Q17" s="495"/>
      <c r="R17" s="495"/>
      <c r="S17" s="495"/>
      <c r="T17" s="487" t="str">
        <f t="shared" si="1"/>
        <v/>
      </c>
      <c r="U17" s="487"/>
      <c r="V17" s="224"/>
      <c r="W17" s="225"/>
    </row>
    <row r="18" spans="1:23" ht="20.100000000000001" customHeight="1" x14ac:dyDescent="0.2">
      <c r="D18" s="223">
        <v>4</v>
      </c>
      <c r="E18" s="486"/>
      <c r="F18" s="486"/>
      <c r="G18" s="486"/>
      <c r="H18" s="486"/>
      <c r="I18" s="495"/>
      <c r="J18" s="495"/>
      <c r="K18" s="495"/>
      <c r="L18" s="495"/>
      <c r="M18" s="487" t="str">
        <f t="shared" si="0"/>
        <v/>
      </c>
      <c r="N18" s="487"/>
      <c r="O18" s="224"/>
      <c r="P18" s="495"/>
      <c r="Q18" s="495"/>
      <c r="R18" s="495"/>
      <c r="S18" s="495"/>
      <c r="T18" s="487" t="str">
        <f t="shared" si="1"/>
        <v/>
      </c>
      <c r="U18" s="487"/>
      <c r="V18" s="224"/>
      <c r="W18" s="225"/>
    </row>
    <row r="19" spans="1:23" s="226" customFormat="1" ht="20.100000000000001" customHeight="1" x14ac:dyDescent="0.2">
      <c r="A19" s="196"/>
      <c r="D19" s="223">
        <v>5</v>
      </c>
      <c r="E19" s="486"/>
      <c r="F19" s="486"/>
      <c r="G19" s="486"/>
      <c r="H19" s="486"/>
      <c r="I19" s="495"/>
      <c r="J19" s="495"/>
      <c r="K19" s="495"/>
      <c r="L19" s="495"/>
      <c r="M19" s="487" t="str">
        <f t="shared" si="0"/>
        <v/>
      </c>
      <c r="N19" s="487"/>
      <c r="O19" s="224"/>
      <c r="P19" s="495"/>
      <c r="Q19" s="495"/>
      <c r="R19" s="495"/>
      <c r="S19" s="495"/>
      <c r="T19" s="487" t="str">
        <f t="shared" si="1"/>
        <v/>
      </c>
      <c r="U19" s="487"/>
      <c r="V19" s="224"/>
      <c r="W19" s="225"/>
    </row>
    <row r="20" spans="1:23" s="227" customFormat="1" ht="20.100000000000001" customHeight="1" x14ac:dyDescent="0.2">
      <c r="A20" s="226"/>
      <c r="D20" s="223">
        <v>6</v>
      </c>
      <c r="E20" s="486"/>
      <c r="F20" s="486"/>
      <c r="G20" s="486"/>
      <c r="H20" s="486"/>
      <c r="I20" s="495"/>
      <c r="J20" s="495"/>
      <c r="K20" s="495"/>
      <c r="L20" s="495"/>
      <c r="M20" s="487" t="str">
        <f t="shared" si="0"/>
        <v/>
      </c>
      <c r="N20" s="487"/>
      <c r="O20" s="224"/>
      <c r="P20" s="495"/>
      <c r="Q20" s="495"/>
      <c r="R20" s="495"/>
      <c r="S20" s="495"/>
      <c r="T20" s="487" t="str">
        <f t="shared" si="1"/>
        <v/>
      </c>
      <c r="U20" s="487"/>
      <c r="V20" s="224"/>
      <c r="W20" s="225"/>
    </row>
    <row r="21" spans="1:23" s="227" customFormat="1" ht="20.100000000000001" customHeight="1" x14ac:dyDescent="0.2">
      <c r="D21" s="223">
        <v>7</v>
      </c>
      <c r="E21" s="484"/>
      <c r="F21" s="485"/>
      <c r="G21" s="484"/>
      <c r="H21" s="485"/>
      <c r="I21" s="496"/>
      <c r="J21" s="497"/>
      <c r="K21" s="496"/>
      <c r="L21" s="497"/>
      <c r="M21" s="487" t="str">
        <f t="shared" si="0"/>
        <v/>
      </c>
      <c r="N21" s="487"/>
      <c r="O21" s="228"/>
      <c r="P21" s="496"/>
      <c r="Q21" s="497"/>
      <c r="R21" s="496"/>
      <c r="S21" s="497"/>
      <c r="T21" s="487" t="str">
        <f t="shared" si="1"/>
        <v/>
      </c>
      <c r="U21" s="487"/>
      <c r="V21" s="224"/>
      <c r="W21" s="225"/>
    </row>
    <row r="22" spans="1:23" s="227" customFormat="1" ht="20.100000000000001" customHeight="1" x14ac:dyDescent="0.2">
      <c r="D22" s="223">
        <v>8</v>
      </c>
      <c r="E22" s="484"/>
      <c r="F22" s="485"/>
      <c r="G22" s="484"/>
      <c r="H22" s="485"/>
      <c r="I22" s="496"/>
      <c r="J22" s="497"/>
      <c r="K22" s="496"/>
      <c r="L22" s="497"/>
      <c r="M22" s="487" t="str">
        <f t="shared" si="0"/>
        <v/>
      </c>
      <c r="N22" s="487"/>
      <c r="O22" s="228"/>
      <c r="P22" s="496"/>
      <c r="Q22" s="497"/>
      <c r="R22" s="496"/>
      <c r="S22" s="497"/>
      <c r="T22" s="487" t="str">
        <f t="shared" si="1"/>
        <v/>
      </c>
      <c r="U22" s="487"/>
      <c r="V22" s="224"/>
      <c r="W22" s="225"/>
    </row>
    <row r="23" spans="1:23" s="227" customFormat="1" ht="20.100000000000001" customHeight="1" x14ac:dyDescent="0.2">
      <c r="D23" s="223">
        <v>9</v>
      </c>
      <c r="E23" s="484"/>
      <c r="F23" s="485"/>
      <c r="G23" s="484"/>
      <c r="H23" s="485"/>
      <c r="I23" s="496"/>
      <c r="J23" s="497"/>
      <c r="K23" s="496"/>
      <c r="L23" s="497"/>
      <c r="M23" s="487" t="str">
        <f t="shared" si="0"/>
        <v/>
      </c>
      <c r="N23" s="487"/>
      <c r="O23" s="228"/>
      <c r="P23" s="496"/>
      <c r="Q23" s="497"/>
      <c r="R23" s="496"/>
      <c r="S23" s="497"/>
      <c r="T23" s="487" t="str">
        <f t="shared" si="1"/>
        <v/>
      </c>
      <c r="U23" s="487"/>
      <c r="V23" s="224"/>
      <c r="W23" s="225"/>
    </row>
    <row r="24" spans="1:23" s="227" customFormat="1" ht="20.100000000000001" customHeight="1" x14ac:dyDescent="0.2">
      <c r="D24" s="223">
        <v>10</v>
      </c>
      <c r="E24" s="484"/>
      <c r="F24" s="485"/>
      <c r="G24" s="484"/>
      <c r="H24" s="485"/>
      <c r="I24" s="496"/>
      <c r="J24" s="497"/>
      <c r="K24" s="496"/>
      <c r="L24" s="497"/>
      <c r="M24" s="487" t="str">
        <f t="shared" si="0"/>
        <v/>
      </c>
      <c r="N24" s="487"/>
      <c r="O24" s="228"/>
      <c r="P24" s="496"/>
      <c r="Q24" s="497"/>
      <c r="R24" s="496"/>
      <c r="S24" s="497"/>
      <c r="T24" s="487" t="str">
        <f t="shared" si="1"/>
        <v/>
      </c>
      <c r="U24" s="487"/>
      <c r="V24" s="224"/>
      <c r="W24" s="225"/>
    </row>
    <row r="25" spans="1:23" s="227" customFormat="1" ht="20.100000000000001" customHeight="1" x14ac:dyDescent="0.2">
      <c r="D25" s="223">
        <v>11</v>
      </c>
      <c r="E25" s="484"/>
      <c r="F25" s="485"/>
      <c r="G25" s="484"/>
      <c r="H25" s="485"/>
      <c r="I25" s="496"/>
      <c r="J25" s="497"/>
      <c r="K25" s="496"/>
      <c r="L25" s="497"/>
      <c r="M25" s="487" t="str">
        <f t="shared" si="0"/>
        <v/>
      </c>
      <c r="N25" s="487"/>
      <c r="O25" s="228"/>
      <c r="P25" s="496"/>
      <c r="Q25" s="497"/>
      <c r="R25" s="496"/>
      <c r="S25" s="497"/>
      <c r="T25" s="487" t="str">
        <f t="shared" si="1"/>
        <v/>
      </c>
      <c r="U25" s="487"/>
      <c r="V25" s="224"/>
      <c r="W25" s="225"/>
    </row>
    <row r="26" spans="1:23" s="227" customFormat="1" ht="20.100000000000001" customHeight="1" x14ac:dyDescent="0.2">
      <c r="D26" s="223">
        <v>12</v>
      </c>
      <c r="E26" s="484"/>
      <c r="F26" s="485"/>
      <c r="G26" s="484"/>
      <c r="H26" s="485"/>
      <c r="I26" s="496"/>
      <c r="J26" s="497"/>
      <c r="K26" s="496"/>
      <c r="L26" s="497"/>
      <c r="M26" s="487" t="str">
        <f t="shared" si="0"/>
        <v/>
      </c>
      <c r="N26" s="487"/>
      <c r="O26" s="228"/>
      <c r="P26" s="496"/>
      <c r="Q26" s="497"/>
      <c r="R26" s="496"/>
      <c r="S26" s="497"/>
      <c r="T26" s="487" t="str">
        <f t="shared" si="1"/>
        <v/>
      </c>
      <c r="U26" s="487"/>
      <c r="V26" s="224"/>
      <c r="W26" s="225"/>
    </row>
    <row r="27" spans="1:23" s="227" customFormat="1" ht="20.100000000000001" customHeight="1" x14ac:dyDescent="0.2">
      <c r="D27" s="223">
        <v>13</v>
      </c>
      <c r="E27" s="484"/>
      <c r="F27" s="485"/>
      <c r="G27" s="484"/>
      <c r="H27" s="485"/>
      <c r="I27" s="496"/>
      <c r="J27" s="497"/>
      <c r="K27" s="496"/>
      <c r="L27" s="497"/>
      <c r="M27" s="487" t="str">
        <f t="shared" si="0"/>
        <v/>
      </c>
      <c r="N27" s="487"/>
      <c r="O27" s="228"/>
      <c r="P27" s="496"/>
      <c r="Q27" s="497"/>
      <c r="R27" s="496"/>
      <c r="S27" s="497"/>
      <c r="T27" s="487" t="str">
        <f t="shared" si="1"/>
        <v/>
      </c>
      <c r="U27" s="487"/>
      <c r="V27" s="224"/>
      <c r="W27" s="225"/>
    </row>
    <row r="28" spans="1:23" s="227" customFormat="1" ht="20.100000000000001" customHeight="1" x14ac:dyDescent="0.2">
      <c r="D28" s="223">
        <v>14</v>
      </c>
      <c r="E28" s="486"/>
      <c r="F28" s="486"/>
      <c r="G28" s="486"/>
      <c r="H28" s="486"/>
      <c r="I28" s="495"/>
      <c r="J28" s="495"/>
      <c r="K28" s="495"/>
      <c r="L28" s="495"/>
      <c r="M28" s="487" t="str">
        <f t="shared" si="0"/>
        <v/>
      </c>
      <c r="N28" s="487"/>
      <c r="O28" s="224"/>
      <c r="P28" s="495"/>
      <c r="Q28" s="495"/>
      <c r="R28" s="495"/>
      <c r="S28" s="495"/>
      <c r="T28" s="487" t="str">
        <f t="shared" si="1"/>
        <v/>
      </c>
      <c r="U28" s="487"/>
      <c r="V28" s="224"/>
      <c r="W28" s="225"/>
    </row>
    <row r="29" spans="1:23" s="229" customFormat="1" ht="20.100000000000001" customHeight="1" x14ac:dyDescent="0.2">
      <c r="A29" s="227"/>
      <c r="D29" s="223">
        <v>15</v>
      </c>
      <c r="E29" s="486"/>
      <c r="F29" s="486"/>
      <c r="G29" s="486"/>
      <c r="H29" s="486"/>
      <c r="I29" s="495"/>
      <c r="J29" s="495"/>
      <c r="K29" s="495"/>
      <c r="L29" s="495"/>
      <c r="M29" s="487" t="str">
        <f t="shared" si="0"/>
        <v/>
      </c>
      <c r="N29" s="487"/>
      <c r="O29" s="224"/>
      <c r="P29" s="495"/>
      <c r="Q29" s="495"/>
      <c r="R29" s="495"/>
      <c r="S29" s="495"/>
      <c r="T29" s="487" t="str">
        <f t="shared" si="1"/>
        <v/>
      </c>
      <c r="U29" s="487"/>
      <c r="V29" s="224"/>
      <c r="W29" s="225"/>
    </row>
    <row r="30" spans="1:23" ht="20.100000000000001" customHeight="1" x14ac:dyDescent="0.2">
      <c r="A30" s="229"/>
      <c r="D30" s="223">
        <v>16</v>
      </c>
      <c r="E30" s="486"/>
      <c r="F30" s="486"/>
      <c r="G30" s="486"/>
      <c r="H30" s="486"/>
      <c r="I30" s="495"/>
      <c r="J30" s="495"/>
      <c r="K30" s="495"/>
      <c r="L30" s="495"/>
      <c r="M30" s="487" t="str">
        <f t="shared" si="0"/>
        <v/>
      </c>
      <c r="N30" s="487"/>
      <c r="O30" s="224"/>
      <c r="P30" s="495"/>
      <c r="Q30" s="495"/>
      <c r="R30" s="495"/>
      <c r="S30" s="495"/>
      <c r="T30" s="487" t="str">
        <f t="shared" si="1"/>
        <v/>
      </c>
      <c r="U30" s="487"/>
      <c r="V30" s="224"/>
      <c r="W30" s="225"/>
    </row>
    <row r="31" spans="1:23" ht="20.100000000000001" customHeight="1" x14ac:dyDescent="0.2">
      <c r="D31" s="223">
        <v>17</v>
      </c>
      <c r="E31" s="486"/>
      <c r="F31" s="486"/>
      <c r="G31" s="486"/>
      <c r="H31" s="486"/>
      <c r="I31" s="495"/>
      <c r="J31" s="495"/>
      <c r="K31" s="495"/>
      <c r="L31" s="495"/>
      <c r="M31" s="487" t="str">
        <f t="shared" si="0"/>
        <v/>
      </c>
      <c r="N31" s="487"/>
      <c r="O31" s="224"/>
      <c r="P31" s="495"/>
      <c r="Q31" s="495"/>
      <c r="R31" s="495"/>
      <c r="S31" s="495"/>
      <c r="T31" s="487" t="str">
        <f t="shared" si="1"/>
        <v/>
      </c>
      <c r="U31" s="487"/>
      <c r="V31" s="224"/>
      <c r="W31" s="225"/>
    </row>
    <row r="32" spans="1:23" ht="20.100000000000001" customHeight="1" x14ac:dyDescent="0.2">
      <c r="D32" s="223">
        <v>18</v>
      </c>
      <c r="E32" s="486"/>
      <c r="F32" s="486"/>
      <c r="G32" s="486"/>
      <c r="H32" s="486"/>
      <c r="I32" s="495"/>
      <c r="J32" s="495"/>
      <c r="K32" s="495"/>
      <c r="L32" s="495"/>
      <c r="M32" s="487" t="str">
        <f t="shared" si="0"/>
        <v/>
      </c>
      <c r="N32" s="487"/>
      <c r="O32" s="224"/>
      <c r="P32" s="495"/>
      <c r="Q32" s="495"/>
      <c r="R32" s="495"/>
      <c r="S32" s="495"/>
      <c r="T32" s="487" t="str">
        <f t="shared" si="1"/>
        <v/>
      </c>
      <c r="U32" s="487"/>
      <c r="V32" s="224"/>
      <c r="W32" s="225"/>
    </row>
    <row r="33" spans="4:25" ht="20.100000000000001" customHeight="1" x14ac:dyDescent="0.2">
      <c r="D33" s="223">
        <v>19</v>
      </c>
      <c r="E33" s="486"/>
      <c r="F33" s="486"/>
      <c r="G33" s="486"/>
      <c r="H33" s="486"/>
      <c r="I33" s="495"/>
      <c r="J33" s="495"/>
      <c r="K33" s="495"/>
      <c r="L33" s="495"/>
      <c r="M33" s="487" t="str">
        <f t="shared" si="0"/>
        <v/>
      </c>
      <c r="N33" s="487"/>
      <c r="O33" s="224"/>
      <c r="P33" s="495"/>
      <c r="Q33" s="495"/>
      <c r="R33" s="495"/>
      <c r="S33" s="495"/>
      <c r="T33" s="487" t="str">
        <f t="shared" si="1"/>
        <v/>
      </c>
      <c r="U33" s="487"/>
      <c r="V33" s="224"/>
      <c r="W33" s="225"/>
    </row>
    <row r="34" spans="4:25" ht="20.100000000000001" customHeight="1" x14ac:dyDescent="0.2">
      <c r="D34" s="223">
        <v>20</v>
      </c>
      <c r="E34" s="484"/>
      <c r="F34" s="485"/>
      <c r="G34" s="484"/>
      <c r="H34" s="485"/>
      <c r="I34" s="496"/>
      <c r="J34" s="497"/>
      <c r="K34" s="496"/>
      <c r="L34" s="497"/>
      <c r="M34" s="487" t="str">
        <f t="shared" si="0"/>
        <v/>
      </c>
      <c r="N34" s="487"/>
      <c r="O34" s="228"/>
      <c r="P34" s="496"/>
      <c r="Q34" s="497"/>
      <c r="R34" s="496"/>
      <c r="S34" s="497"/>
      <c r="T34" s="487" t="str">
        <f t="shared" si="1"/>
        <v/>
      </c>
      <c r="U34" s="487"/>
      <c r="V34" s="224"/>
      <c r="W34" s="225"/>
    </row>
    <row r="35" spans="4:25" ht="17.100000000000001" customHeight="1" x14ac:dyDescent="0.2">
      <c r="D35" s="221"/>
      <c r="E35" s="534" t="s">
        <v>586</v>
      </c>
      <c r="F35" s="534"/>
      <c r="G35" s="534"/>
      <c r="H35" s="534"/>
      <c r="I35" s="230"/>
      <c r="J35" s="230"/>
      <c r="K35" s="230"/>
      <c r="L35" s="230"/>
      <c r="M35" s="230"/>
      <c r="N35" s="230"/>
      <c r="O35" s="230"/>
      <c r="P35" s="230"/>
      <c r="Q35" s="230"/>
      <c r="R35" s="230"/>
      <c r="S35" s="230"/>
      <c r="T35" s="230"/>
      <c r="U35" s="230"/>
      <c r="V35" s="230"/>
      <c r="W35" s="231"/>
    </row>
    <row r="36" spans="4:25" ht="20.100000000000001" customHeight="1" x14ac:dyDescent="0.2">
      <c r="D36" s="221"/>
      <c r="E36" s="488"/>
      <c r="F36" s="489"/>
      <c r="G36" s="490"/>
      <c r="H36" s="490"/>
      <c r="I36" s="490"/>
      <c r="J36" s="490"/>
      <c r="K36" s="490"/>
      <c r="L36" s="490"/>
      <c r="M36" s="490"/>
      <c r="N36" s="490"/>
      <c r="O36" s="490"/>
      <c r="P36" s="490"/>
      <c r="Q36" s="490"/>
      <c r="R36" s="490"/>
      <c r="S36" s="490"/>
      <c r="T36" s="490"/>
      <c r="U36" s="490"/>
      <c r="V36" s="490"/>
      <c r="W36" s="491"/>
    </row>
    <row r="37" spans="4:25" ht="20.100000000000001" customHeight="1" x14ac:dyDescent="0.2">
      <c r="D37" s="221"/>
      <c r="E37" s="492"/>
      <c r="F37" s="493"/>
      <c r="G37" s="490"/>
      <c r="H37" s="490"/>
      <c r="I37" s="490"/>
      <c r="J37" s="490"/>
      <c r="K37" s="490"/>
      <c r="L37" s="490"/>
      <c r="M37" s="490"/>
      <c r="N37" s="490"/>
      <c r="O37" s="490"/>
      <c r="P37" s="490"/>
      <c r="Q37" s="490"/>
      <c r="R37" s="490"/>
      <c r="S37" s="490"/>
      <c r="T37" s="490"/>
      <c r="U37" s="490"/>
      <c r="V37" s="490"/>
      <c r="W37" s="491"/>
    </row>
    <row r="38" spans="4:25" ht="20.100000000000001" customHeight="1" x14ac:dyDescent="0.2">
      <c r="D38" s="221"/>
      <c r="E38" s="492"/>
      <c r="F38" s="493"/>
      <c r="G38" s="490"/>
      <c r="H38" s="490"/>
      <c r="I38" s="490"/>
      <c r="J38" s="490"/>
      <c r="K38" s="490"/>
      <c r="L38" s="490"/>
      <c r="M38" s="490"/>
      <c r="N38" s="490"/>
      <c r="O38" s="490"/>
      <c r="P38" s="490"/>
      <c r="Q38" s="490"/>
      <c r="R38" s="490"/>
      <c r="S38" s="490"/>
      <c r="T38" s="490"/>
      <c r="U38" s="490"/>
      <c r="V38" s="490"/>
      <c r="W38" s="491"/>
    </row>
    <row r="39" spans="4:25" ht="20.100000000000001" customHeight="1" x14ac:dyDescent="0.2">
      <c r="D39" s="221"/>
      <c r="E39" s="492"/>
      <c r="F39" s="493"/>
      <c r="G39" s="490"/>
      <c r="H39" s="490"/>
      <c r="I39" s="490"/>
      <c r="J39" s="490"/>
      <c r="K39" s="490"/>
      <c r="L39" s="490"/>
      <c r="M39" s="490"/>
      <c r="N39" s="490"/>
      <c r="O39" s="490"/>
      <c r="P39" s="490"/>
      <c r="Q39" s="490"/>
      <c r="R39" s="490"/>
      <c r="S39" s="490"/>
      <c r="T39" s="490"/>
      <c r="U39" s="490"/>
      <c r="V39" s="490"/>
      <c r="W39" s="491"/>
    </row>
    <row r="40" spans="4:25" ht="20.100000000000001" customHeight="1" x14ac:dyDescent="0.2">
      <c r="D40" s="221"/>
      <c r="E40" s="492"/>
      <c r="F40" s="493"/>
      <c r="G40" s="490"/>
      <c r="H40" s="490"/>
      <c r="I40" s="490"/>
      <c r="J40" s="490"/>
      <c r="K40" s="490"/>
      <c r="L40" s="490"/>
      <c r="M40" s="490"/>
      <c r="N40" s="490"/>
      <c r="O40" s="490"/>
      <c r="P40" s="490"/>
      <c r="Q40" s="490"/>
      <c r="R40" s="490"/>
      <c r="S40" s="490"/>
      <c r="T40" s="490"/>
      <c r="U40" s="490"/>
      <c r="V40" s="490"/>
      <c r="W40" s="491"/>
    </row>
    <row r="41" spans="4:25" ht="13.5" customHeight="1" thickBot="1" x14ac:dyDescent="0.25">
      <c r="D41" s="221"/>
      <c r="E41" s="501" t="s">
        <v>202</v>
      </c>
      <c r="F41" s="501"/>
      <c r="G41" s="501"/>
      <c r="H41" s="501"/>
      <c r="I41" s="230"/>
      <c r="J41" s="232"/>
      <c r="K41" s="500" t="s">
        <v>575</v>
      </c>
      <c r="L41" s="500"/>
      <c r="M41" s="500"/>
      <c r="N41" s="500"/>
      <c r="O41" s="500"/>
      <c r="P41" s="500"/>
      <c r="Q41" s="500"/>
      <c r="R41" s="500"/>
      <c r="S41" s="500"/>
      <c r="T41" s="500"/>
      <c r="U41" s="500"/>
      <c r="V41" s="500"/>
      <c r="W41" s="500"/>
      <c r="X41" s="500"/>
      <c r="Y41" s="233"/>
    </row>
    <row r="42" spans="4:25" ht="15" customHeight="1" x14ac:dyDescent="0.2">
      <c r="D42" s="221"/>
      <c r="E42" s="478" t="s">
        <v>587</v>
      </c>
      <c r="F42" s="479"/>
      <c r="G42" s="479"/>
      <c r="H42" s="480"/>
      <c r="I42" s="230"/>
      <c r="J42" s="232"/>
      <c r="K42" s="494" t="s">
        <v>539</v>
      </c>
      <c r="L42" s="494"/>
      <c r="M42" s="494"/>
      <c r="N42" s="494"/>
      <c r="O42" s="494"/>
      <c r="P42" s="494"/>
      <c r="Q42" s="494"/>
      <c r="R42" s="494"/>
      <c r="S42" s="494" t="s">
        <v>540</v>
      </c>
      <c r="T42" s="494"/>
      <c r="U42" s="494"/>
      <c r="V42" s="494"/>
      <c r="W42" s="494"/>
      <c r="X42" s="494"/>
      <c r="Y42" s="233"/>
    </row>
    <row r="43" spans="4:25" ht="15" customHeight="1" thickBot="1" x14ac:dyDescent="0.25">
      <c r="D43" s="221"/>
      <c r="E43" s="481"/>
      <c r="F43" s="482"/>
      <c r="G43" s="482"/>
      <c r="H43" s="483"/>
      <c r="I43" s="230"/>
      <c r="J43" s="232"/>
      <c r="K43" s="494" t="s">
        <v>541</v>
      </c>
      <c r="L43" s="494"/>
      <c r="M43" s="494"/>
      <c r="N43" s="494"/>
      <c r="O43" s="494"/>
      <c r="P43" s="494"/>
      <c r="Q43" s="494"/>
      <c r="R43" s="494"/>
      <c r="S43" s="494" t="s">
        <v>542</v>
      </c>
      <c r="T43" s="494"/>
      <c r="U43" s="494"/>
      <c r="V43" s="494"/>
      <c r="W43" s="494"/>
      <c r="X43" s="494"/>
      <c r="Y43" s="233"/>
    </row>
    <row r="44" spans="4:25" ht="15" customHeight="1" x14ac:dyDescent="0.2">
      <c r="D44" s="221"/>
      <c r="I44" s="230"/>
      <c r="J44" s="232"/>
      <c r="K44" s="494" t="s">
        <v>543</v>
      </c>
      <c r="L44" s="494"/>
      <c r="M44" s="494"/>
      <c r="N44" s="494"/>
      <c r="O44" s="494"/>
      <c r="P44" s="494"/>
      <c r="Q44" s="494"/>
      <c r="R44" s="494"/>
      <c r="S44" s="234" t="s">
        <v>537</v>
      </c>
      <c r="T44" s="234"/>
      <c r="U44" s="234"/>
      <c r="V44" s="234"/>
      <c r="W44" s="234"/>
      <c r="X44" s="234"/>
      <c r="Y44" s="233"/>
    </row>
    <row r="45" spans="4:25" ht="15" customHeight="1" x14ac:dyDescent="0.2">
      <c r="D45" s="221"/>
      <c r="E45" s="475" t="s">
        <v>298</v>
      </c>
      <c r="F45" s="475"/>
      <c r="G45" s="476"/>
      <c r="H45" s="476"/>
      <c r="I45" s="230"/>
      <c r="J45" s="232"/>
      <c r="K45" s="494" t="s">
        <v>544</v>
      </c>
      <c r="L45" s="494"/>
      <c r="M45" s="494"/>
      <c r="N45" s="494"/>
      <c r="O45" s="494"/>
      <c r="P45" s="494"/>
      <c r="Q45" s="494"/>
      <c r="R45" s="494"/>
      <c r="S45" s="235" t="s">
        <v>545</v>
      </c>
      <c r="T45" s="236"/>
      <c r="U45" s="237"/>
      <c r="V45" s="236"/>
      <c r="W45" s="236"/>
      <c r="X45" s="236"/>
      <c r="Y45" s="233"/>
    </row>
    <row r="46" spans="4:25" ht="15" customHeight="1" x14ac:dyDescent="0.25">
      <c r="D46" s="221"/>
      <c r="E46" s="477"/>
      <c r="F46" s="477"/>
      <c r="G46" s="477"/>
      <c r="H46" s="477"/>
      <c r="I46" s="230"/>
      <c r="J46" s="232"/>
      <c r="K46" s="494" t="s">
        <v>546</v>
      </c>
      <c r="L46" s="494"/>
      <c r="M46" s="494"/>
      <c r="N46" s="494"/>
      <c r="O46" s="494"/>
      <c r="P46" s="494"/>
      <c r="Q46" s="236"/>
      <c r="R46" s="236"/>
      <c r="S46" s="236"/>
      <c r="T46" s="236"/>
      <c r="U46" s="236"/>
      <c r="V46" s="236"/>
      <c r="W46" s="236"/>
      <c r="X46" s="236"/>
      <c r="Y46" s="233"/>
    </row>
    <row r="47" spans="4:25" ht="15" customHeight="1" x14ac:dyDescent="0.25">
      <c r="D47" s="221"/>
      <c r="E47" s="477" t="e" vm="1">
        <v>#VALUE!</v>
      </c>
      <c r="F47" s="477"/>
      <c r="G47" s="477"/>
      <c r="H47" s="477"/>
      <c r="I47" s="230"/>
      <c r="J47" s="232"/>
      <c r="K47" s="494" t="s">
        <v>547</v>
      </c>
      <c r="L47" s="494"/>
      <c r="M47" s="494"/>
      <c r="N47" s="494"/>
      <c r="O47" s="494"/>
      <c r="P47" s="494"/>
      <c r="Q47" s="236"/>
      <c r="R47" s="236"/>
      <c r="S47" s="494" t="s">
        <v>538</v>
      </c>
      <c r="T47" s="494"/>
      <c r="U47" s="494"/>
      <c r="V47" s="494"/>
      <c r="W47" s="494"/>
      <c r="X47" s="494"/>
      <c r="Y47" s="233"/>
    </row>
    <row r="48" spans="4:25" ht="12.75" customHeight="1" x14ac:dyDescent="0.25">
      <c r="D48" s="221"/>
      <c r="E48" s="238"/>
      <c r="F48" s="238"/>
      <c r="G48" s="238"/>
      <c r="H48" s="238"/>
      <c r="I48" s="230"/>
      <c r="J48" s="499"/>
      <c r="K48" s="499"/>
      <c r="L48" s="499"/>
      <c r="M48" s="499"/>
      <c r="N48" s="499"/>
      <c r="O48" s="499"/>
      <c r="P48" s="499"/>
      <c r="R48" s="239"/>
      <c r="S48" s="239"/>
      <c r="T48" s="239"/>
      <c r="U48" s="239"/>
      <c r="V48" s="239"/>
      <c r="W48" s="311" t="s">
        <v>582</v>
      </c>
    </row>
    <row r="49" spans="2:25" ht="0.6" customHeight="1" x14ac:dyDescent="0.25">
      <c r="B49" s="240"/>
      <c r="D49" s="221"/>
      <c r="E49" s="238"/>
      <c r="F49" s="238"/>
      <c r="G49" s="238"/>
      <c r="H49" s="238"/>
      <c r="I49" s="230"/>
      <c r="J49" s="241"/>
      <c r="K49" s="241"/>
      <c r="L49" s="241"/>
      <c r="M49" s="241"/>
      <c r="N49" s="241"/>
      <c r="O49" s="241"/>
      <c r="P49" s="241"/>
      <c r="R49" s="239"/>
      <c r="S49" s="239"/>
      <c r="T49" s="239"/>
      <c r="U49" s="239"/>
      <c r="V49" s="239"/>
      <c r="W49" s="239"/>
      <c r="Y49" s="242"/>
    </row>
    <row r="50" spans="2:25" ht="0.6" customHeight="1" x14ac:dyDescent="0.25">
      <c r="B50" s="240"/>
      <c r="D50" s="221"/>
      <c r="E50" s="498"/>
      <c r="F50" s="498"/>
      <c r="G50" s="498"/>
      <c r="H50" s="238"/>
      <c r="I50" s="230"/>
      <c r="Y50" s="242"/>
    </row>
  </sheetData>
  <sheetProtection selectLockedCells="1"/>
  <mergeCells count="227">
    <mergeCell ref="E38:W38"/>
    <mergeCell ref="E39:W39"/>
    <mergeCell ref="E40:W40"/>
    <mergeCell ref="E35:H35"/>
    <mergeCell ref="E3:J3"/>
    <mergeCell ref="K5:Q5"/>
    <mergeCell ref="W2:W3"/>
    <mergeCell ref="R2:V2"/>
    <mergeCell ref="E2:J2"/>
    <mergeCell ref="K3:Q3"/>
    <mergeCell ref="M6:Q6"/>
    <mergeCell ref="R5:V5"/>
    <mergeCell ref="R3:V3"/>
    <mergeCell ref="K2:Q2"/>
    <mergeCell ref="R4:V4"/>
    <mergeCell ref="E4:J4"/>
    <mergeCell ref="E6:H6"/>
    <mergeCell ref="K4:Q4"/>
    <mergeCell ref="O10:W10"/>
    <mergeCell ref="M7:Q7"/>
    <mergeCell ref="K13:L13"/>
    <mergeCell ref="K16:L16"/>
    <mergeCell ref="E11:N11"/>
    <mergeCell ref="O11:W11"/>
    <mergeCell ref="E7:H7"/>
    <mergeCell ref="K15:L15"/>
    <mergeCell ref="T16:U16"/>
    <mergeCell ref="R15:S15"/>
    <mergeCell ref="R16:S16"/>
    <mergeCell ref="R14:S14"/>
    <mergeCell ref="P16:Q16"/>
    <mergeCell ref="M14:N14"/>
    <mergeCell ref="I13:J13"/>
    <mergeCell ref="E15:F15"/>
    <mergeCell ref="E14:F14"/>
    <mergeCell ref="I16:J16"/>
    <mergeCell ref="G13:H13"/>
    <mergeCell ref="P15:Q15"/>
    <mergeCell ref="T14:U14"/>
    <mergeCell ref="T13:U13"/>
    <mergeCell ref="P14:Q14"/>
    <mergeCell ref="I14:J14"/>
    <mergeCell ref="O9:P9"/>
    <mergeCell ref="T15:U15"/>
    <mergeCell ref="I15:J15"/>
    <mergeCell ref="M13:N13"/>
    <mergeCell ref="E10:N10"/>
    <mergeCell ref="K14:L14"/>
    <mergeCell ref="P17:Q17"/>
    <mergeCell ref="P18:Q18"/>
    <mergeCell ref="P22:Q22"/>
    <mergeCell ref="I20:J20"/>
    <mergeCell ref="I18:J18"/>
    <mergeCell ref="M22:N22"/>
    <mergeCell ref="W13:W14"/>
    <mergeCell ref="R9:W9"/>
    <mergeCell ref="P13:Q13"/>
    <mergeCell ref="R13:S13"/>
    <mergeCell ref="T17:U17"/>
    <mergeCell ref="T21:U21"/>
    <mergeCell ref="M18:N18"/>
    <mergeCell ref="M19:N19"/>
    <mergeCell ref="R19:S19"/>
    <mergeCell ref="P21:Q21"/>
    <mergeCell ref="R20:S20"/>
    <mergeCell ref="K18:L18"/>
    <mergeCell ref="K19:L19"/>
    <mergeCell ref="T18:U18"/>
    <mergeCell ref="T19:U19"/>
    <mergeCell ref="T20:U20"/>
    <mergeCell ref="R17:S17"/>
    <mergeCell ref="R18:S18"/>
    <mergeCell ref="R21:S21"/>
    <mergeCell ref="T30:U30"/>
    <mergeCell ref="T29:U29"/>
    <mergeCell ref="T28:U28"/>
    <mergeCell ref="I25:J25"/>
    <mergeCell ref="M24:N24"/>
    <mergeCell ref="T25:U25"/>
    <mergeCell ref="K22:L22"/>
    <mergeCell ref="T23:U23"/>
    <mergeCell ref="T24:U24"/>
    <mergeCell ref="M23:N23"/>
    <mergeCell ref="R24:S24"/>
    <mergeCell ref="R23:S23"/>
    <mergeCell ref="T22:U22"/>
    <mergeCell ref="K28:L28"/>
    <mergeCell ref="M27:N27"/>
    <mergeCell ref="P23:Q23"/>
    <mergeCell ref="P24:Q24"/>
    <mergeCell ref="R28:S28"/>
    <mergeCell ref="P27:Q27"/>
    <mergeCell ref="R22:S22"/>
    <mergeCell ref="R27:S27"/>
    <mergeCell ref="R26:S26"/>
    <mergeCell ref="T26:U26"/>
    <mergeCell ref="T27:U27"/>
    <mergeCell ref="R25:S25"/>
    <mergeCell ref="D4:D7"/>
    <mergeCell ref="G19:H19"/>
    <mergeCell ref="G20:H20"/>
    <mergeCell ref="E20:F20"/>
    <mergeCell ref="G15:H15"/>
    <mergeCell ref="G16:H16"/>
    <mergeCell ref="G17:H17"/>
    <mergeCell ref="E18:F18"/>
    <mergeCell ref="E19:F19"/>
    <mergeCell ref="E17:F17"/>
    <mergeCell ref="E5:J5"/>
    <mergeCell ref="I6:L6"/>
    <mergeCell ref="I7:L7"/>
    <mergeCell ref="E9:N9"/>
    <mergeCell ref="G14:H14"/>
    <mergeCell ref="E13:F13"/>
    <mergeCell ref="M16:N16"/>
    <mergeCell ref="P19:Q19"/>
    <mergeCell ref="P20:Q20"/>
    <mergeCell ref="E16:F16"/>
    <mergeCell ref="E22:F22"/>
    <mergeCell ref="G18:H18"/>
    <mergeCell ref="M17:N17"/>
    <mergeCell ref="M21:N21"/>
    <mergeCell ref="K17:L17"/>
    <mergeCell ref="M15:N15"/>
    <mergeCell ref="I34:J34"/>
    <mergeCell ref="I31:J31"/>
    <mergeCell ref="G33:H33"/>
    <mergeCell ref="I33:J33"/>
    <mergeCell ref="M26:N26"/>
    <mergeCell ref="I23:J23"/>
    <mergeCell ref="G22:H22"/>
    <mergeCell ref="G26:H26"/>
    <mergeCell ref="I22:J22"/>
    <mergeCell ref="G27:H27"/>
    <mergeCell ref="I27:J27"/>
    <mergeCell ref="G25:H25"/>
    <mergeCell ref="G28:H28"/>
    <mergeCell ref="K26:L26"/>
    <mergeCell ref="I28:J28"/>
    <mergeCell ref="M20:N20"/>
    <mergeCell ref="I17:J17"/>
    <mergeCell ref="K21:L21"/>
    <mergeCell ref="R32:S32"/>
    <mergeCell ref="R33:S33"/>
    <mergeCell ref="P30:Q30"/>
    <mergeCell ref="M29:N29"/>
    <mergeCell ref="M30:N30"/>
    <mergeCell ref="K34:L34"/>
    <mergeCell ref="K29:L29"/>
    <mergeCell ref="R30:S30"/>
    <mergeCell ref="K30:L30"/>
    <mergeCell ref="P29:Q29"/>
    <mergeCell ref="R29:S29"/>
    <mergeCell ref="K33:L33"/>
    <mergeCell ref="R31:S31"/>
    <mergeCell ref="K31:L31"/>
    <mergeCell ref="P31:Q31"/>
    <mergeCell ref="E50:G50"/>
    <mergeCell ref="J48:P48"/>
    <mergeCell ref="K43:R43"/>
    <mergeCell ref="E30:F30"/>
    <mergeCell ref="K32:L32"/>
    <mergeCell ref="E29:F29"/>
    <mergeCell ref="G30:H30"/>
    <mergeCell ref="E31:F31"/>
    <mergeCell ref="I30:J30"/>
    <mergeCell ref="G31:H31"/>
    <mergeCell ref="I29:J29"/>
    <mergeCell ref="I32:J32"/>
    <mergeCell ref="K41:X41"/>
    <mergeCell ref="P33:Q33"/>
    <mergeCell ref="M31:N31"/>
    <mergeCell ref="E34:F34"/>
    <mergeCell ref="G34:H34"/>
    <mergeCell ref="P34:Q34"/>
    <mergeCell ref="R34:S34"/>
    <mergeCell ref="M34:N34"/>
    <mergeCell ref="E33:F33"/>
    <mergeCell ref="E41:H41"/>
    <mergeCell ref="S42:X42"/>
    <mergeCell ref="T33:U33"/>
    <mergeCell ref="E26:F26"/>
    <mergeCell ref="P25:Q25"/>
    <mergeCell ref="E21:F21"/>
    <mergeCell ref="P26:Q26"/>
    <mergeCell ref="K24:L24"/>
    <mergeCell ref="G23:H23"/>
    <mergeCell ref="I19:J19"/>
    <mergeCell ref="K20:L20"/>
    <mergeCell ref="P28:Q28"/>
    <mergeCell ref="I21:J21"/>
    <mergeCell ref="I26:J26"/>
    <mergeCell ref="I24:J24"/>
    <mergeCell ref="G21:H21"/>
    <mergeCell ref="G24:H24"/>
    <mergeCell ref="E25:F25"/>
    <mergeCell ref="E24:F24"/>
    <mergeCell ref="E23:F23"/>
    <mergeCell ref="M25:N25"/>
    <mergeCell ref="K23:L23"/>
    <mergeCell ref="K25:L25"/>
    <mergeCell ref="M28:N28"/>
    <mergeCell ref="K27:L27"/>
    <mergeCell ref="E45:H45"/>
    <mergeCell ref="E46:H46"/>
    <mergeCell ref="E47:H47"/>
    <mergeCell ref="E42:H43"/>
    <mergeCell ref="E27:F27"/>
    <mergeCell ref="E28:F28"/>
    <mergeCell ref="G32:H32"/>
    <mergeCell ref="E32:F32"/>
    <mergeCell ref="T32:U32"/>
    <mergeCell ref="T31:U31"/>
    <mergeCell ref="T34:U34"/>
    <mergeCell ref="E36:W36"/>
    <mergeCell ref="E37:W37"/>
    <mergeCell ref="S47:X47"/>
    <mergeCell ref="M32:N32"/>
    <mergeCell ref="S43:X43"/>
    <mergeCell ref="K44:R44"/>
    <mergeCell ref="K45:R45"/>
    <mergeCell ref="K46:P46"/>
    <mergeCell ref="M33:N33"/>
    <mergeCell ref="P32:Q32"/>
    <mergeCell ref="K47:P47"/>
    <mergeCell ref="K42:R42"/>
    <mergeCell ref="G29:H29"/>
  </mergeCells>
  <phoneticPr fontId="0" type="noConversion"/>
  <printOptions horizontalCentered="1" verticalCentered="1"/>
  <pageMargins left="0.39370078740157483" right="0.31" top="0.19685039370078741" bottom="0.33" header="0.35433070866141736" footer="0.28000000000000003"/>
  <pageSetup paperSize="9" orientation="portrait" r:id="rId1"/>
  <headerFooter alignWithMargins="0">
    <oddFooter>&amp;L&amp;8FunkiS&amp;R&amp;8v 1.1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70" r:id="rId4" name="Check Box 2">
              <controlPr locked="0" defaultSize="0" autoFill="0" autoLine="0" autoPict="0">
                <anchor moveWithCells="1">
                  <from>
                    <xdr:col>21</xdr:col>
                    <xdr:colOff>104775</xdr:colOff>
                    <xdr:row>5</xdr:row>
                    <xdr:rowOff>152400</xdr:rowOff>
                  </from>
                  <to>
                    <xdr:col>22</xdr:col>
                    <xdr:colOff>104775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5" name="Check Box 3">
              <controlPr locked="0" defaultSize="0" autoFill="0" autoLine="0" autoPict="0">
                <anchor moveWithCells="1">
                  <from>
                    <xdr:col>19</xdr:col>
                    <xdr:colOff>180975</xdr:colOff>
                    <xdr:row>5</xdr:row>
                    <xdr:rowOff>152400</xdr:rowOff>
                  </from>
                  <to>
                    <xdr:col>21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8">
    <pageSetUpPr autoPageBreaks="0"/>
  </sheetPr>
  <dimension ref="A1:S54"/>
  <sheetViews>
    <sheetView showGridLines="0" zoomScaleNormal="100" workbookViewId="0">
      <selection activeCell="E5" sqref="E5"/>
    </sheetView>
  </sheetViews>
  <sheetFormatPr defaultColWidth="8.85546875" defaultRowHeight="12.75" x14ac:dyDescent="0.2"/>
  <cols>
    <col min="1" max="1" width="3.42578125" style="236" customWidth="1"/>
    <col min="2" max="2" width="1.42578125" style="236" customWidth="1"/>
    <col min="3" max="3" width="2.42578125" style="155" customWidth="1"/>
    <col min="4" max="4" width="7" style="155" customWidth="1"/>
    <col min="5" max="5" width="8.85546875" style="155" customWidth="1"/>
    <col min="6" max="8" width="6.42578125" style="155" customWidth="1"/>
    <col min="9" max="9" width="1.42578125" style="155" customWidth="1"/>
    <col min="10" max="11" width="4.42578125" style="155" customWidth="1"/>
    <col min="12" max="12" width="1.42578125" style="155" customWidth="1"/>
    <col min="13" max="14" width="4.42578125" style="155" customWidth="1"/>
    <col min="15" max="15" width="8.85546875" style="155"/>
    <col min="16" max="16" width="7.85546875" style="155" customWidth="1"/>
    <col min="17" max="18" width="8.85546875" style="155"/>
    <col min="19" max="19" width="1.42578125" style="155" customWidth="1"/>
    <col min="20" max="16384" width="8.85546875" style="155"/>
  </cols>
  <sheetData>
    <row r="1" spans="1:19" s="196" customFormat="1" ht="16.5" customHeight="1" x14ac:dyDescent="0.2">
      <c r="A1" s="227"/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7"/>
      <c r="S1" s="227"/>
    </row>
    <row r="2" spans="1:19" s="196" customFormat="1" ht="9" customHeight="1" x14ac:dyDescent="0.2"/>
    <row r="3" spans="1:19" customFormat="1" ht="26.25" customHeight="1" x14ac:dyDescent="0.4">
      <c r="A3" s="196"/>
      <c r="B3" s="196"/>
      <c r="D3" s="144" t="s">
        <v>240</v>
      </c>
      <c r="J3" s="1"/>
      <c r="K3" s="1"/>
      <c r="L3" s="1"/>
      <c r="O3" s="80"/>
      <c r="R3" s="81"/>
    </row>
    <row r="4" spans="1:19" customFormat="1" ht="9.9499999999999993" customHeight="1" x14ac:dyDescent="0.35">
      <c r="A4" s="196"/>
      <c r="B4" s="196"/>
      <c r="E4" s="144"/>
      <c r="F4" s="144"/>
      <c r="G4" s="144"/>
      <c r="H4" s="144"/>
      <c r="I4" s="578" t="s">
        <v>340</v>
      </c>
      <c r="J4" s="604"/>
      <c r="K4" s="604"/>
      <c r="L4" s="604"/>
      <c r="M4" s="604"/>
      <c r="N4" s="604"/>
      <c r="O4" s="579"/>
      <c r="P4" s="578" t="s">
        <v>341</v>
      </c>
      <c r="Q4" s="579"/>
      <c r="R4" s="572" t="s">
        <v>267</v>
      </c>
    </row>
    <row r="5" spans="1:19" customFormat="1" ht="15.95" customHeight="1" x14ac:dyDescent="0.35">
      <c r="A5" s="196"/>
      <c r="B5" s="196"/>
      <c r="D5" s="145"/>
      <c r="E5" s="145"/>
      <c r="F5" s="145"/>
      <c r="G5" s="145"/>
      <c r="H5" s="145"/>
      <c r="I5" s="605">
        <f>A_Blankett!$I$5</f>
        <v>0</v>
      </c>
      <c r="J5" s="606"/>
      <c r="K5" s="606"/>
      <c r="L5" s="607"/>
      <c r="M5" s="607"/>
      <c r="N5" s="607"/>
      <c r="O5" s="608"/>
      <c r="P5" s="602"/>
      <c r="Q5" s="603"/>
      <c r="R5" s="573"/>
    </row>
    <row r="6" spans="1:19" customFormat="1" ht="9.9499999999999993" customHeight="1" x14ac:dyDescent="0.2">
      <c r="A6" s="196"/>
      <c r="B6" s="196"/>
      <c r="C6" s="398" t="s">
        <v>267</v>
      </c>
      <c r="D6" s="161" t="s">
        <v>195</v>
      </c>
      <c r="E6" s="35"/>
      <c r="F6" s="35"/>
      <c r="G6" s="35"/>
      <c r="H6" s="35"/>
      <c r="I6" s="159" t="s">
        <v>41</v>
      </c>
      <c r="J6" s="4"/>
      <c r="K6" s="72"/>
      <c r="L6" s="72"/>
      <c r="M6" s="72"/>
      <c r="N6" s="72"/>
      <c r="O6" s="157"/>
      <c r="P6" s="159" t="s">
        <v>233</v>
      </c>
      <c r="Q6" s="135"/>
      <c r="R6" s="160" t="s">
        <v>196</v>
      </c>
    </row>
    <row r="7" spans="1:19" customFormat="1" ht="15.95" customHeight="1" x14ac:dyDescent="0.2">
      <c r="A7" s="196"/>
      <c r="B7" s="196"/>
      <c r="C7" s="398"/>
      <c r="D7" s="575">
        <f>A_Blankett!$D$11</f>
        <v>0</v>
      </c>
      <c r="E7" s="576"/>
      <c r="F7" s="576"/>
      <c r="G7" s="576"/>
      <c r="H7" s="577"/>
      <c r="I7" s="557">
        <f>A_Blankett!$H$11</f>
        <v>0</v>
      </c>
      <c r="J7" s="558"/>
      <c r="K7" s="558"/>
      <c r="L7" s="558"/>
      <c r="M7" s="558"/>
      <c r="N7" s="558"/>
      <c r="O7" s="559"/>
      <c r="P7" s="557">
        <f>A_Blankett!$F$19</f>
        <v>0</v>
      </c>
      <c r="Q7" s="559"/>
      <c r="R7" s="83">
        <v>1</v>
      </c>
    </row>
    <row r="8" spans="1:19" customFormat="1" ht="9.9499999999999993" customHeight="1" x14ac:dyDescent="0.2">
      <c r="A8" s="196"/>
      <c r="B8" s="196"/>
      <c r="C8" s="2"/>
      <c r="D8" s="161" t="s">
        <v>198</v>
      </c>
      <c r="E8" s="84"/>
      <c r="F8" s="85"/>
      <c r="G8" s="161"/>
      <c r="H8" s="82"/>
      <c r="I8" s="161" t="s">
        <v>220</v>
      </c>
      <c r="J8" s="84"/>
      <c r="K8" s="84"/>
      <c r="L8" s="84"/>
      <c r="M8" s="84"/>
      <c r="N8" s="84"/>
      <c r="O8" s="84"/>
      <c r="P8" s="161" t="s">
        <v>203</v>
      </c>
      <c r="Q8" s="84"/>
      <c r="R8" s="86"/>
    </row>
    <row r="9" spans="1:19" customFormat="1" ht="15.95" customHeight="1" x14ac:dyDescent="0.2">
      <c r="A9" s="196"/>
      <c r="B9" s="196"/>
      <c r="C9" s="2"/>
      <c r="D9" s="595"/>
      <c r="E9" s="596"/>
      <c r="F9" s="597"/>
      <c r="G9" s="598"/>
      <c r="H9" s="599"/>
      <c r="I9" s="557" t="str">
        <f>A_Blankett!$D$49</f>
        <v>Kristoffer Toivanen</v>
      </c>
      <c r="J9" s="558"/>
      <c r="K9" s="558"/>
      <c r="L9" s="558"/>
      <c r="M9" s="558"/>
      <c r="N9" s="558"/>
      <c r="O9" s="559"/>
      <c r="P9" s="560"/>
      <c r="Q9" s="561"/>
      <c r="R9" s="562"/>
    </row>
    <row r="10" spans="1:19" customFormat="1" ht="15" customHeight="1" x14ac:dyDescent="0.2">
      <c r="A10" s="196"/>
      <c r="B10" s="196"/>
      <c r="C10" s="2"/>
      <c r="F10" s="567" t="s">
        <v>200</v>
      </c>
      <c r="G10" s="567"/>
      <c r="H10" s="567"/>
      <c r="I10" s="574"/>
      <c r="J10" s="574"/>
      <c r="K10" s="574"/>
      <c r="L10" s="574"/>
      <c r="M10" s="574"/>
      <c r="N10" s="44"/>
    </row>
    <row r="11" spans="1:19" customFormat="1" ht="15.95" customHeight="1" x14ac:dyDescent="0.2">
      <c r="A11" s="196"/>
      <c r="B11" s="196"/>
      <c r="C11" s="1" t="s">
        <v>268</v>
      </c>
      <c r="D11" s="22" t="s">
        <v>328</v>
      </c>
      <c r="E11" s="87"/>
      <c r="F11" s="600"/>
      <c r="G11" s="601"/>
      <c r="H11" s="601"/>
      <c r="I11" s="601"/>
      <c r="J11" s="601"/>
      <c r="K11" s="601"/>
      <c r="L11" s="601"/>
      <c r="M11" s="601"/>
      <c r="N11" s="601"/>
      <c r="O11" s="566" t="s">
        <v>241</v>
      </c>
      <c r="P11" s="567"/>
      <c r="Q11" s="88" t="s">
        <v>317</v>
      </c>
      <c r="R11" s="88" t="s">
        <v>318</v>
      </c>
    </row>
    <row r="12" spans="1:19" customFormat="1" ht="15.95" customHeight="1" x14ac:dyDescent="0.2">
      <c r="A12" s="196"/>
      <c r="B12" s="196"/>
      <c r="C12" s="2"/>
      <c r="D12" s="89" t="s">
        <v>242</v>
      </c>
      <c r="E12" s="90"/>
      <c r="F12" s="580"/>
      <c r="G12" s="581"/>
      <c r="H12" s="581"/>
      <c r="I12" s="581"/>
      <c r="J12" s="581"/>
      <c r="K12" s="581"/>
      <c r="L12" s="581"/>
      <c r="M12" s="581"/>
      <c r="N12" s="581"/>
      <c r="O12" s="22" t="s">
        <v>243</v>
      </c>
      <c r="P12" s="87"/>
      <c r="Q12" s="585"/>
      <c r="R12" s="587"/>
    </row>
    <row r="13" spans="1:19" customFormat="1" ht="15.95" customHeight="1" x14ac:dyDescent="0.2">
      <c r="A13" s="196"/>
      <c r="B13" s="196"/>
      <c r="C13" s="2"/>
      <c r="D13" s="89" t="s">
        <v>244</v>
      </c>
      <c r="E13" s="90"/>
      <c r="F13" s="580"/>
      <c r="G13" s="581"/>
      <c r="H13" s="581"/>
      <c r="I13" s="581"/>
      <c r="J13" s="581"/>
      <c r="K13" s="581"/>
      <c r="L13" s="581"/>
      <c r="M13" s="581"/>
      <c r="N13" s="581"/>
      <c r="O13" s="89" t="s">
        <v>327</v>
      </c>
      <c r="P13" s="90"/>
      <c r="Q13" s="569"/>
      <c r="R13" s="571"/>
    </row>
    <row r="14" spans="1:19" customFormat="1" ht="15.95" customHeight="1" x14ac:dyDescent="0.2">
      <c r="A14" s="196"/>
      <c r="B14" s="196"/>
      <c r="C14" s="2"/>
      <c r="D14" s="89" t="s">
        <v>245</v>
      </c>
      <c r="E14" s="90"/>
      <c r="F14" s="580"/>
      <c r="G14" s="581"/>
      <c r="H14" s="581"/>
      <c r="I14" s="581"/>
      <c r="J14" s="581"/>
      <c r="K14" s="581"/>
      <c r="L14" s="581"/>
      <c r="M14" s="581"/>
      <c r="N14" s="581"/>
      <c r="O14" s="25" t="s">
        <v>321</v>
      </c>
      <c r="P14" s="92"/>
      <c r="Q14" s="23"/>
      <c r="R14" s="24"/>
    </row>
    <row r="15" spans="1:19" customFormat="1" ht="15.95" customHeight="1" x14ac:dyDescent="0.2">
      <c r="A15" s="196"/>
      <c r="B15" s="196"/>
      <c r="C15" s="2"/>
      <c r="D15" s="93" t="s">
        <v>34</v>
      </c>
      <c r="E15" s="94"/>
      <c r="F15" s="582"/>
      <c r="G15" s="583"/>
      <c r="H15" s="583"/>
      <c r="I15" s="583"/>
      <c r="J15" s="583"/>
      <c r="K15" s="583"/>
      <c r="L15" s="583"/>
      <c r="M15" s="583"/>
      <c r="N15" s="583"/>
      <c r="O15" s="25" t="s">
        <v>322</v>
      </c>
      <c r="P15" s="90"/>
      <c r="Q15" s="140"/>
      <c r="R15" s="28"/>
    </row>
    <row r="16" spans="1:19" customFormat="1" ht="15.95" customHeight="1" x14ac:dyDescent="0.2">
      <c r="A16" s="196"/>
      <c r="B16" s="196"/>
      <c r="C16" s="2"/>
      <c r="D16" s="22"/>
      <c r="E16" s="26"/>
      <c r="F16" s="589" t="s">
        <v>318</v>
      </c>
      <c r="G16" s="590"/>
      <c r="H16" s="594"/>
      <c r="I16" s="589" t="s">
        <v>317</v>
      </c>
      <c r="J16" s="590"/>
      <c r="K16" s="590"/>
      <c r="L16" s="590"/>
      <c r="M16" s="590"/>
      <c r="N16" s="590"/>
      <c r="O16" s="95" t="s">
        <v>246</v>
      </c>
      <c r="P16" s="96"/>
      <c r="Q16" s="59"/>
      <c r="R16" s="97"/>
    </row>
    <row r="17" spans="1:18" customFormat="1" ht="15.95" customHeight="1" x14ac:dyDescent="0.2">
      <c r="A17" s="196"/>
      <c r="B17" s="196"/>
      <c r="C17" s="2"/>
      <c r="D17" s="27" t="s">
        <v>274</v>
      </c>
      <c r="E17" s="26"/>
      <c r="F17" s="591"/>
      <c r="G17" s="592"/>
      <c r="H17" s="593"/>
      <c r="I17" s="591"/>
      <c r="J17" s="592"/>
      <c r="K17" s="592"/>
      <c r="L17" s="592"/>
      <c r="M17" s="592"/>
      <c r="N17" s="592"/>
      <c r="O17" s="195" t="s">
        <v>548</v>
      </c>
      <c r="P17" s="95"/>
      <c r="Q17" s="91"/>
      <c r="R17" s="98"/>
    </row>
    <row r="18" spans="1:18" customFormat="1" ht="15.95" customHeight="1" x14ac:dyDescent="0.2">
      <c r="A18" s="196"/>
      <c r="B18" s="196"/>
      <c r="C18" s="2"/>
      <c r="D18" s="656"/>
      <c r="E18" s="634"/>
      <c r="F18" s="566" t="s">
        <v>263</v>
      </c>
      <c r="G18" s="567"/>
      <c r="H18" s="568"/>
      <c r="I18" s="566" t="s">
        <v>264</v>
      </c>
      <c r="J18" s="567"/>
      <c r="K18" s="567"/>
      <c r="L18" s="567"/>
      <c r="M18" s="567"/>
      <c r="N18" s="567"/>
      <c r="O18" s="89" t="s">
        <v>323</v>
      </c>
      <c r="P18" s="99"/>
      <c r="Q18" s="100"/>
      <c r="R18" s="101"/>
    </row>
    <row r="19" spans="1:18" customFormat="1" ht="15.95" customHeight="1" x14ac:dyDescent="0.2">
      <c r="A19" s="196"/>
      <c r="B19" s="196"/>
      <c r="C19" s="2"/>
      <c r="D19" s="102" t="s">
        <v>247</v>
      </c>
      <c r="E19" s="103"/>
      <c r="F19" s="585"/>
      <c r="G19" s="586"/>
      <c r="H19" s="587"/>
      <c r="I19" s="660"/>
      <c r="J19" s="661"/>
      <c r="K19" s="661"/>
      <c r="L19" s="661"/>
      <c r="M19" s="661"/>
      <c r="N19" s="662"/>
      <c r="O19" s="104" t="s">
        <v>276</v>
      </c>
      <c r="Q19" s="105"/>
      <c r="R19" s="105"/>
    </row>
    <row r="20" spans="1:18" customFormat="1" ht="15.95" customHeight="1" x14ac:dyDescent="0.25">
      <c r="A20" s="196"/>
      <c r="B20" s="196"/>
      <c r="C20" s="2"/>
      <c r="D20" s="106" t="s">
        <v>319</v>
      </c>
      <c r="E20" s="90"/>
      <c r="F20" s="564"/>
      <c r="G20" s="584"/>
      <c r="H20" s="565"/>
      <c r="I20" s="107" t="s">
        <v>248</v>
      </c>
      <c r="J20" s="563"/>
      <c r="K20" s="588"/>
      <c r="L20" s="108" t="s">
        <v>249</v>
      </c>
      <c r="M20" s="563"/>
      <c r="N20" s="563"/>
      <c r="O20" s="109" t="s">
        <v>331</v>
      </c>
      <c r="P20" s="110"/>
      <c r="Q20" s="91"/>
      <c r="R20" s="98"/>
    </row>
    <row r="21" spans="1:18" customFormat="1" ht="15.95" customHeight="1" x14ac:dyDescent="0.2">
      <c r="A21" s="196"/>
      <c r="B21" s="196"/>
      <c r="C21" s="2"/>
      <c r="D21" s="106" t="s">
        <v>320</v>
      </c>
      <c r="E21" s="90"/>
      <c r="F21" s="569"/>
      <c r="G21" s="570"/>
      <c r="H21" s="571"/>
      <c r="I21" s="111" t="s">
        <v>248</v>
      </c>
      <c r="J21" s="635"/>
      <c r="K21" s="655"/>
      <c r="L21" s="112" t="s">
        <v>249</v>
      </c>
      <c r="M21" s="635"/>
      <c r="N21" s="635"/>
      <c r="O21" s="113" t="s">
        <v>325</v>
      </c>
      <c r="P21" s="103"/>
      <c r="Q21" s="564"/>
      <c r="R21" s="565"/>
    </row>
    <row r="22" spans="1:18" customFormat="1" ht="15.95" customHeight="1" x14ac:dyDescent="0.2">
      <c r="A22" s="196"/>
      <c r="B22" s="196"/>
      <c r="C22" s="2"/>
      <c r="D22" s="114" t="s">
        <v>280</v>
      </c>
      <c r="E22" s="99"/>
      <c r="F22" s="569"/>
      <c r="G22" s="570"/>
      <c r="H22" s="571"/>
      <c r="I22" s="569"/>
      <c r="J22" s="570"/>
      <c r="K22" s="570"/>
      <c r="L22" s="570"/>
      <c r="M22" s="570"/>
      <c r="N22" s="570"/>
      <c r="O22" s="113" t="s">
        <v>326</v>
      </c>
      <c r="P22" s="110"/>
      <c r="Q22" s="569"/>
      <c r="R22" s="571"/>
    </row>
    <row r="23" spans="1:18" customFormat="1" ht="15.95" customHeight="1" x14ac:dyDescent="0.2">
      <c r="A23" s="196"/>
      <c r="B23" s="196"/>
      <c r="C23" s="2"/>
      <c r="D23" s="114" t="s">
        <v>281</v>
      </c>
      <c r="E23" s="99"/>
      <c r="F23" s="569"/>
      <c r="G23" s="570"/>
      <c r="H23" s="571"/>
      <c r="I23" s="569"/>
      <c r="J23" s="570"/>
      <c r="K23" s="570"/>
      <c r="L23" s="570"/>
      <c r="M23" s="570"/>
      <c r="N23" s="570"/>
      <c r="O23" s="115" t="s">
        <v>324</v>
      </c>
      <c r="P23" s="116"/>
      <c r="Q23" s="609"/>
      <c r="R23" s="610"/>
    </row>
    <row r="24" spans="1:18" customFormat="1" ht="15.95" customHeight="1" x14ac:dyDescent="0.2">
      <c r="A24" s="196"/>
      <c r="B24" s="196"/>
      <c r="C24" s="2"/>
      <c r="D24" s="114" t="s">
        <v>282</v>
      </c>
      <c r="E24" s="99"/>
      <c r="F24" s="569"/>
      <c r="G24" s="570"/>
      <c r="H24" s="571"/>
      <c r="I24" s="569"/>
      <c r="J24" s="570"/>
      <c r="K24" s="570"/>
      <c r="L24" s="570"/>
      <c r="M24" s="570"/>
      <c r="N24" s="571"/>
      <c r="O24" s="612" t="s">
        <v>549</v>
      </c>
      <c r="P24" s="613"/>
      <c r="Q24" s="613"/>
      <c r="R24" s="614"/>
    </row>
    <row r="25" spans="1:18" customFormat="1" ht="15.95" customHeight="1" x14ac:dyDescent="0.2">
      <c r="A25" s="196"/>
      <c r="B25" s="196"/>
      <c r="C25" s="2"/>
      <c r="D25" s="117" t="s">
        <v>283</v>
      </c>
      <c r="E25" s="118"/>
      <c r="F25" s="569"/>
      <c r="G25" s="570"/>
      <c r="H25" s="571"/>
      <c r="I25" s="569"/>
      <c r="J25" s="570"/>
      <c r="K25" s="570"/>
      <c r="L25" s="570"/>
      <c r="M25" s="570"/>
      <c r="N25" s="570"/>
      <c r="O25" s="566" t="s">
        <v>250</v>
      </c>
      <c r="P25" s="568"/>
      <c r="Q25" s="591"/>
      <c r="R25" s="593"/>
    </row>
    <row r="26" spans="1:18" customFormat="1" ht="15.95" customHeight="1" x14ac:dyDescent="0.2">
      <c r="A26" s="196"/>
      <c r="B26" s="196"/>
      <c r="C26" s="2"/>
      <c r="D26" s="119" t="s">
        <v>329</v>
      </c>
      <c r="E26" s="58"/>
      <c r="F26" s="643"/>
      <c r="G26" s="644"/>
      <c r="H26" s="645"/>
      <c r="I26" s="615"/>
      <c r="J26" s="616"/>
      <c r="K26" s="616"/>
      <c r="L26" s="616"/>
      <c r="M26" s="616"/>
      <c r="N26" s="617"/>
      <c r="O26" s="618" t="s">
        <v>526</v>
      </c>
      <c r="P26" s="619"/>
      <c r="Q26" s="619"/>
      <c r="R26" s="620"/>
    </row>
    <row r="27" spans="1:18" customFormat="1" ht="15.95" customHeight="1" x14ac:dyDescent="0.2">
      <c r="A27" s="196"/>
      <c r="B27" s="196"/>
      <c r="C27" s="2"/>
      <c r="D27" s="120" t="s">
        <v>284</v>
      </c>
      <c r="E27" s="121" t="s">
        <v>290</v>
      </c>
      <c r="F27" s="122">
        <f>D30+E30</f>
        <v>0</v>
      </c>
      <c r="G27" s="123" t="s">
        <v>294</v>
      </c>
      <c r="H27" s="124" t="s">
        <v>291</v>
      </c>
      <c r="I27" s="611" t="s">
        <v>292</v>
      </c>
      <c r="J27" s="611"/>
      <c r="K27" s="627" t="s">
        <v>293</v>
      </c>
      <c r="L27" s="628"/>
      <c r="M27" s="627" t="s">
        <v>289</v>
      </c>
      <c r="N27" s="628"/>
      <c r="O27" s="621"/>
      <c r="P27" s="622"/>
      <c r="Q27" s="622"/>
      <c r="R27" s="623"/>
    </row>
    <row r="28" spans="1:18" customFormat="1" ht="15.95" customHeight="1" x14ac:dyDescent="0.2">
      <c r="A28" s="196"/>
      <c r="B28" s="196"/>
      <c r="C28" s="2"/>
      <c r="D28" s="651" t="s">
        <v>279</v>
      </c>
      <c r="E28" s="652"/>
      <c r="F28" s="125"/>
      <c r="G28" s="126"/>
      <c r="H28" s="127"/>
      <c r="I28" s="638"/>
      <c r="J28" s="639"/>
      <c r="K28" s="638"/>
      <c r="L28" s="639"/>
      <c r="M28" s="638"/>
      <c r="N28" s="639"/>
      <c r="O28" s="621"/>
      <c r="P28" s="622"/>
      <c r="Q28" s="622"/>
      <c r="R28" s="623"/>
    </row>
    <row r="29" spans="1:18" customFormat="1" ht="15.95" customHeight="1" x14ac:dyDescent="0.2">
      <c r="A29" s="196"/>
      <c r="B29" s="196"/>
      <c r="C29" s="33"/>
      <c r="D29" s="646" t="s">
        <v>279</v>
      </c>
      <c r="E29" s="647"/>
      <c r="F29" s="128"/>
      <c r="G29" s="129"/>
      <c r="H29" s="130"/>
      <c r="I29" s="636"/>
      <c r="J29" s="637"/>
      <c r="K29" s="636"/>
      <c r="L29" s="637"/>
      <c r="M29" s="636"/>
      <c r="N29" s="637"/>
      <c r="O29" s="624"/>
      <c r="P29" s="625"/>
      <c r="Q29" s="625"/>
      <c r="R29" s="626"/>
    </row>
    <row r="30" spans="1:18" customFormat="1" ht="15" customHeight="1" x14ac:dyDescent="0.2">
      <c r="A30" s="196"/>
      <c r="B30" s="196"/>
      <c r="C30" s="2"/>
      <c r="D30" s="141">
        <f>IF(AND(G28&gt;0,H28&gt;0,K28&gt;0,M28&gt;0,I28&gt;0),(G28*H28*K28*2*M28+H28*I28)/10000,0)</f>
        <v>0</v>
      </c>
      <c r="E30" s="141">
        <f>IF(AND(G29&gt;0,H29&gt;0,K29&gt;0,M29&gt;0,I29&gt;0),(G29*H29*K29*2*M29+H29*I29)/10000,0)</f>
        <v>0</v>
      </c>
      <c r="F30" s="642" t="s">
        <v>201</v>
      </c>
      <c r="G30" s="642"/>
      <c r="H30" s="642"/>
      <c r="I30" s="642"/>
      <c r="J30" s="642"/>
      <c r="K30" s="642"/>
      <c r="L30" s="642"/>
      <c r="M30" s="642"/>
      <c r="N30" s="5"/>
    </row>
    <row r="31" spans="1:18" customFormat="1" ht="15.95" customHeight="1" x14ac:dyDescent="0.2">
      <c r="A31" s="196"/>
      <c r="B31" s="196"/>
      <c r="C31" s="1" t="s">
        <v>269</v>
      </c>
      <c r="D31" s="22" t="s">
        <v>328</v>
      </c>
      <c r="E31" s="87"/>
      <c r="F31" s="600"/>
      <c r="G31" s="601"/>
      <c r="H31" s="601"/>
      <c r="I31" s="601"/>
      <c r="J31" s="601"/>
      <c r="K31" s="601"/>
      <c r="L31" s="601"/>
      <c r="M31" s="601"/>
      <c r="N31" s="601"/>
      <c r="O31" s="566" t="s">
        <v>241</v>
      </c>
      <c r="P31" s="567"/>
      <c r="Q31" s="88" t="s">
        <v>317</v>
      </c>
      <c r="R31" s="88" t="s">
        <v>318</v>
      </c>
    </row>
    <row r="32" spans="1:18" customFormat="1" ht="15.95" customHeight="1" x14ac:dyDescent="0.2">
      <c r="A32" s="196"/>
      <c r="B32" s="196"/>
      <c r="C32" s="2"/>
      <c r="D32" s="89" t="s">
        <v>242</v>
      </c>
      <c r="E32" s="90"/>
      <c r="F32" s="580"/>
      <c r="G32" s="581"/>
      <c r="H32" s="581"/>
      <c r="I32" s="581"/>
      <c r="J32" s="581"/>
      <c r="K32" s="581"/>
      <c r="L32" s="581"/>
      <c r="M32" s="581"/>
      <c r="N32" s="581"/>
      <c r="O32" s="22" t="s">
        <v>243</v>
      </c>
      <c r="P32" s="87"/>
      <c r="Q32" s="585"/>
      <c r="R32" s="587"/>
    </row>
    <row r="33" spans="1:18" customFormat="1" ht="15.95" customHeight="1" x14ac:dyDescent="0.2">
      <c r="A33" s="196"/>
      <c r="B33" s="196"/>
      <c r="C33" s="2"/>
      <c r="D33" s="89" t="s">
        <v>244</v>
      </c>
      <c r="E33" s="90"/>
      <c r="F33" s="580"/>
      <c r="G33" s="581"/>
      <c r="H33" s="581"/>
      <c r="I33" s="581"/>
      <c r="J33" s="581"/>
      <c r="K33" s="581"/>
      <c r="L33" s="581"/>
      <c r="M33" s="581"/>
      <c r="N33" s="581"/>
      <c r="O33" s="89" t="s">
        <v>327</v>
      </c>
      <c r="P33" s="90"/>
      <c r="Q33" s="569"/>
      <c r="R33" s="571"/>
    </row>
    <row r="34" spans="1:18" customFormat="1" ht="15.95" customHeight="1" x14ac:dyDescent="0.2">
      <c r="A34" s="196"/>
      <c r="B34" s="196"/>
      <c r="C34" s="2"/>
      <c r="D34" s="89" t="s">
        <v>245</v>
      </c>
      <c r="E34" s="90"/>
      <c r="F34" s="580"/>
      <c r="G34" s="581"/>
      <c r="H34" s="581"/>
      <c r="I34" s="581"/>
      <c r="J34" s="581"/>
      <c r="K34" s="581"/>
      <c r="L34" s="581"/>
      <c r="M34" s="581"/>
      <c r="N34" s="581"/>
      <c r="O34" s="25" t="s">
        <v>321</v>
      </c>
      <c r="P34" s="92"/>
      <c r="Q34" s="23"/>
      <c r="R34" s="24"/>
    </row>
    <row r="35" spans="1:18" customFormat="1" ht="15.95" customHeight="1" x14ac:dyDescent="0.2">
      <c r="A35" s="196"/>
      <c r="B35" s="196"/>
      <c r="C35" s="2"/>
      <c r="D35" s="93" t="s">
        <v>34</v>
      </c>
      <c r="E35" s="94"/>
      <c r="F35" s="640"/>
      <c r="G35" s="641"/>
      <c r="H35" s="641"/>
      <c r="I35" s="641"/>
      <c r="J35" s="641"/>
      <c r="K35" s="641"/>
      <c r="L35" s="641"/>
      <c r="M35" s="641"/>
      <c r="N35" s="641"/>
      <c r="O35" s="25" t="s">
        <v>322</v>
      </c>
      <c r="P35" s="90"/>
      <c r="Q35" s="140"/>
      <c r="R35" s="28"/>
    </row>
    <row r="36" spans="1:18" customFormat="1" ht="15.95" customHeight="1" x14ac:dyDescent="0.2">
      <c r="A36" s="196"/>
      <c r="B36" s="196"/>
      <c r="C36" s="2"/>
      <c r="D36" s="22"/>
      <c r="E36" s="26"/>
      <c r="F36" s="589" t="s">
        <v>318</v>
      </c>
      <c r="G36" s="590"/>
      <c r="H36" s="594"/>
      <c r="I36" s="589" t="s">
        <v>317</v>
      </c>
      <c r="J36" s="590"/>
      <c r="K36" s="590"/>
      <c r="L36" s="590"/>
      <c r="M36" s="590"/>
      <c r="N36" s="590"/>
      <c r="O36" s="95" t="s">
        <v>246</v>
      </c>
      <c r="P36" s="96"/>
      <c r="Q36" s="59"/>
      <c r="R36" s="97"/>
    </row>
    <row r="37" spans="1:18" customFormat="1" ht="15.95" customHeight="1" x14ac:dyDescent="0.2">
      <c r="A37" s="196"/>
      <c r="B37" s="196"/>
      <c r="C37" s="2"/>
      <c r="D37" s="27" t="s">
        <v>274</v>
      </c>
      <c r="E37" s="26"/>
      <c r="F37" s="591"/>
      <c r="G37" s="592"/>
      <c r="H37" s="593"/>
      <c r="I37" s="591"/>
      <c r="J37" s="592"/>
      <c r="K37" s="592"/>
      <c r="L37" s="592"/>
      <c r="M37" s="592"/>
      <c r="N37" s="592"/>
      <c r="O37" s="195" t="s">
        <v>548</v>
      </c>
      <c r="P37" s="95"/>
      <c r="Q37" s="91"/>
      <c r="R37" s="98"/>
    </row>
    <row r="38" spans="1:18" customFormat="1" ht="15.95" customHeight="1" x14ac:dyDescent="0.2">
      <c r="A38" s="196"/>
      <c r="B38" s="196"/>
      <c r="C38" s="2"/>
      <c r="D38" s="656"/>
      <c r="E38" s="634"/>
      <c r="F38" s="566" t="s">
        <v>263</v>
      </c>
      <c r="G38" s="567"/>
      <c r="H38" s="568"/>
      <c r="I38" s="566" t="s">
        <v>264</v>
      </c>
      <c r="J38" s="567"/>
      <c r="K38" s="567"/>
      <c r="L38" s="567"/>
      <c r="M38" s="567"/>
      <c r="N38" s="568"/>
      <c r="O38" s="89" t="s">
        <v>323</v>
      </c>
      <c r="P38" s="99"/>
      <c r="Q38" s="100"/>
      <c r="R38" s="101"/>
    </row>
    <row r="39" spans="1:18" customFormat="1" ht="15.95" customHeight="1" x14ac:dyDescent="0.2">
      <c r="A39" s="196"/>
      <c r="B39" s="196"/>
      <c r="C39" s="2"/>
      <c r="D39" s="89" t="s">
        <v>247</v>
      </c>
      <c r="E39" s="90"/>
      <c r="F39" s="564"/>
      <c r="G39" s="584"/>
      <c r="H39" s="565"/>
      <c r="I39" s="657"/>
      <c r="J39" s="658"/>
      <c r="K39" s="658"/>
      <c r="L39" s="658"/>
      <c r="M39" s="658"/>
      <c r="N39" s="659"/>
      <c r="O39" s="104" t="s">
        <v>276</v>
      </c>
      <c r="Q39" s="105"/>
      <c r="R39" s="105"/>
    </row>
    <row r="40" spans="1:18" customFormat="1" ht="15.95" customHeight="1" x14ac:dyDescent="0.25">
      <c r="A40" s="196"/>
      <c r="B40" s="196"/>
      <c r="C40" s="2"/>
      <c r="D40" s="89" t="s">
        <v>319</v>
      </c>
      <c r="E40" s="90"/>
      <c r="F40" s="564"/>
      <c r="G40" s="584"/>
      <c r="H40" s="565"/>
      <c r="I40" s="107" t="s">
        <v>248</v>
      </c>
      <c r="J40" s="563"/>
      <c r="K40" s="588"/>
      <c r="L40" s="108" t="s">
        <v>249</v>
      </c>
      <c r="M40" s="563"/>
      <c r="N40" s="563"/>
      <c r="O40" s="109" t="s">
        <v>331</v>
      </c>
      <c r="P40" s="110"/>
      <c r="Q40" s="91"/>
      <c r="R40" s="98"/>
    </row>
    <row r="41" spans="1:18" customFormat="1" ht="15.95" customHeight="1" x14ac:dyDescent="0.2">
      <c r="A41" s="196"/>
      <c r="B41" s="196"/>
      <c r="C41" s="2"/>
      <c r="D41" s="89" t="s">
        <v>320</v>
      </c>
      <c r="E41" s="90"/>
      <c r="F41" s="569"/>
      <c r="G41" s="570"/>
      <c r="H41" s="571"/>
      <c r="I41" s="111" t="s">
        <v>248</v>
      </c>
      <c r="J41" s="635"/>
      <c r="K41" s="655"/>
      <c r="L41" s="112" t="s">
        <v>249</v>
      </c>
      <c r="M41" s="635"/>
      <c r="N41" s="635"/>
      <c r="O41" s="113" t="s">
        <v>325</v>
      </c>
      <c r="P41" s="103"/>
      <c r="Q41" s="564"/>
      <c r="R41" s="565"/>
    </row>
    <row r="42" spans="1:18" customFormat="1" ht="15.95" customHeight="1" x14ac:dyDescent="0.2">
      <c r="A42" s="196"/>
      <c r="B42" s="196"/>
      <c r="C42" s="2"/>
      <c r="D42" s="114" t="s">
        <v>280</v>
      </c>
      <c r="E42" s="99"/>
      <c r="F42" s="569"/>
      <c r="G42" s="570"/>
      <c r="H42" s="571"/>
      <c r="I42" s="569"/>
      <c r="J42" s="570"/>
      <c r="K42" s="570"/>
      <c r="L42" s="570"/>
      <c r="M42" s="570"/>
      <c r="N42" s="570"/>
      <c r="O42" s="113" t="s">
        <v>326</v>
      </c>
      <c r="P42" s="110"/>
      <c r="Q42" s="569"/>
      <c r="R42" s="571"/>
    </row>
    <row r="43" spans="1:18" customFormat="1" ht="15.95" customHeight="1" x14ac:dyDescent="0.2">
      <c r="A43" s="196"/>
      <c r="B43" s="196"/>
      <c r="C43" s="2"/>
      <c r="D43" s="114" t="s">
        <v>281</v>
      </c>
      <c r="E43" s="99"/>
      <c r="F43" s="569"/>
      <c r="G43" s="570"/>
      <c r="H43" s="571"/>
      <c r="I43" s="569"/>
      <c r="J43" s="570"/>
      <c r="K43" s="570"/>
      <c r="L43" s="570"/>
      <c r="M43" s="570"/>
      <c r="N43" s="571"/>
      <c r="O43" s="115" t="s">
        <v>324</v>
      </c>
      <c r="P43" s="116"/>
      <c r="Q43" s="609"/>
      <c r="R43" s="610"/>
    </row>
    <row r="44" spans="1:18" customFormat="1" ht="15.95" customHeight="1" x14ac:dyDescent="0.2">
      <c r="A44" s="196"/>
      <c r="B44" s="196"/>
      <c r="C44" s="2"/>
      <c r="D44" s="114" t="s">
        <v>282</v>
      </c>
      <c r="E44" s="99"/>
      <c r="F44" s="569"/>
      <c r="G44" s="570"/>
      <c r="H44" s="571"/>
      <c r="I44" s="564"/>
      <c r="J44" s="584"/>
      <c r="K44" s="584"/>
      <c r="L44" s="584"/>
      <c r="M44" s="584"/>
      <c r="N44" s="584"/>
      <c r="O44" s="648" t="s">
        <v>526</v>
      </c>
      <c r="P44" s="619"/>
      <c r="Q44" s="619"/>
      <c r="R44" s="620"/>
    </row>
    <row r="45" spans="1:18" customFormat="1" ht="15.95" customHeight="1" x14ac:dyDescent="0.2">
      <c r="A45" s="196"/>
      <c r="B45" s="196"/>
      <c r="C45" s="2"/>
      <c r="D45" s="117" t="s">
        <v>283</v>
      </c>
      <c r="E45" s="118"/>
      <c r="F45" s="569"/>
      <c r="G45" s="570"/>
      <c r="H45" s="571"/>
      <c r="I45" s="569"/>
      <c r="J45" s="570"/>
      <c r="K45" s="570"/>
      <c r="L45" s="570"/>
      <c r="M45" s="570"/>
      <c r="N45" s="570"/>
      <c r="O45" s="621"/>
      <c r="P45" s="622"/>
      <c r="Q45" s="622"/>
      <c r="R45" s="623"/>
    </row>
    <row r="46" spans="1:18" customFormat="1" ht="15.95" customHeight="1" x14ac:dyDescent="0.2">
      <c r="A46" s="196"/>
      <c r="B46" s="196"/>
      <c r="C46" s="2"/>
      <c r="D46" s="119" t="s">
        <v>330</v>
      </c>
      <c r="E46" s="58"/>
      <c r="F46" s="643"/>
      <c r="G46" s="644"/>
      <c r="H46" s="645"/>
      <c r="I46" s="615"/>
      <c r="J46" s="616"/>
      <c r="K46" s="616"/>
      <c r="L46" s="616"/>
      <c r="M46" s="616"/>
      <c r="N46" s="616"/>
      <c r="O46" s="621"/>
      <c r="P46" s="622"/>
      <c r="Q46" s="622"/>
      <c r="R46" s="623"/>
    </row>
    <row r="47" spans="1:18" customFormat="1" ht="15.95" customHeight="1" x14ac:dyDescent="0.2">
      <c r="A47" s="196"/>
      <c r="B47" s="196"/>
      <c r="C47" s="2"/>
      <c r="D47" s="120" t="s">
        <v>284</v>
      </c>
      <c r="E47" s="121" t="s">
        <v>290</v>
      </c>
      <c r="F47" s="122">
        <f>((G48*H48*K48*2*M48+H48*I48)+(G49*H49*K49*2*M49+H49*I49))/10000</f>
        <v>0</v>
      </c>
      <c r="G47" s="123" t="s">
        <v>294</v>
      </c>
      <c r="H47" s="124" t="s">
        <v>291</v>
      </c>
      <c r="I47" s="611" t="s">
        <v>292</v>
      </c>
      <c r="J47" s="611"/>
      <c r="K47" s="627" t="s">
        <v>293</v>
      </c>
      <c r="L47" s="628"/>
      <c r="M47" s="627" t="s">
        <v>289</v>
      </c>
      <c r="N47" s="628"/>
      <c r="O47" s="621"/>
      <c r="P47" s="622"/>
      <c r="Q47" s="622"/>
      <c r="R47" s="623"/>
    </row>
    <row r="48" spans="1:18" customFormat="1" ht="15.95" customHeight="1" x14ac:dyDescent="0.2">
      <c r="A48" s="196"/>
      <c r="B48" s="196"/>
      <c r="C48" s="2"/>
      <c r="D48" s="651" t="s">
        <v>279</v>
      </c>
      <c r="E48" s="652"/>
      <c r="F48" s="125"/>
      <c r="G48" s="131"/>
      <c r="H48" s="125"/>
      <c r="I48" s="653"/>
      <c r="J48" s="654"/>
      <c r="K48" s="653"/>
      <c r="L48" s="654"/>
      <c r="M48" s="653"/>
      <c r="N48" s="654"/>
      <c r="O48" s="621"/>
      <c r="P48" s="622"/>
      <c r="Q48" s="622"/>
      <c r="R48" s="623"/>
    </row>
    <row r="49" spans="1:19" customFormat="1" ht="15.95" customHeight="1" x14ac:dyDescent="0.2">
      <c r="A49" s="196"/>
      <c r="B49" s="196"/>
      <c r="C49" s="2"/>
      <c r="D49" s="646" t="s">
        <v>279</v>
      </c>
      <c r="E49" s="647"/>
      <c r="F49" s="128"/>
      <c r="G49" s="129"/>
      <c r="H49" s="130"/>
      <c r="I49" s="636"/>
      <c r="J49" s="637"/>
      <c r="K49" s="636"/>
      <c r="L49" s="637"/>
      <c r="M49" s="636"/>
      <c r="N49" s="637"/>
      <c r="O49" s="621"/>
      <c r="P49" s="622"/>
      <c r="Q49" s="622"/>
      <c r="R49" s="623"/>
    </row>
    <row r="50" spans="1:19" customFormat="1" ht="15.95" customHeight="1" x14ac:dyDescent="0.2">
      <c r="A50" s="196"/>
      <c r="B50" s="196"/>
      <c r="C50" s="2"/>
      <c r="D50" s="649" t="s">
        <v>265</v>
      </c>
      <c r="E50" s="650"/>
      <c r="F50" s="629">
        <f>IF(F51=0,0,(Q35+Q15)/F51)</f>
        <v>0</v>
      </c>
      <c r="G50" s="630"/>
      <c r="H50" s="631"/>
      <c r="I50" s="632"/>
      <c r="J50" s="633"/>
      <c r="K50" s="633"/>
      <c r="L50" s="633"/>
      <c r="M50" s="633"/>
      <c r="N50" s="634"/>
      <c r="O50" s="624"/>
      <c r="P50" s="625"/>
      <c r="Q50" s="625"/>
      <c r="R50" s="626"/>
    </row>
    <row r="51" spans="1:19" customFormat="1" x14ac:dyDescent="0.2">
      <c r="A51" s="196"/>
      <c r="B51" s="196"/>
      <c r="F51" s="142">
        <f>IF(I39&gt;I19,I39,I19)/1000</f>
        <v>0</v>
      </c>
      <c r="G51" s="132"/>
      <c r="H51" s="132"/>
    </row>
    <row r="52" spans="1:19" customFormat="1" x14ac:dyDescent="0.2">
      <c r="A52" s="196"/>
      <c r="B52" s="196"/>
      <c r="J52" s="133" t="s">
        <v>295</v>
      </c>
      <c r="K52" s="133"/>
    </row>
    <row r="53" spans="1:19" customFormat="1" x14ac:dyDescent="0.2">
      <c r="A53" s="196"/>
      <c r="B53" s="196"/>
      <c r="J53" s="55" t="s">
        <v>296</v>
      </c>
      <c r="K53" s="133"/>
    </row>
    <row r="54" spans="1:19" customFormat="1" x14ac:dyDescent="0.2">
      <c r="A54" s="196"/>
      <c r="B54" s="196"/>
      <c r="J54" s="133" t="s">
        <v>266</v>
      </c>
      <c r="S54" s="158"/>
    </row>
  </sheetData>
  <mergeCells count="119">
    <mergeCell ref="I19:N19"/>
    <mergeCell ref="J21:K21"/>
    <mergeCell ref="F21:H21"/>
    <mergeCell ref="I29:J29"/>
    <mergeCell ref="M29:N29"/>
    <mergeCell ref="F25:H25"/>
    <mergeCell ref="I25:N25"/>
    <mergeCell ref="I22:N22"/>
    <mergeCell ref="D18:E18"/>
    <mergeCell ref="F23:H23"/>
    <mergeCell ref="F24:H24"/>
    <mergeCell ref="M21:N21"/>
    <mergeCell ref="I18:N18"/>
    <mergeCell ref="F26:H26"/>
    <mergeCell ref="I28:J28"/>
    <mergeCell ref="D28:E28"/>
    <mergeCell ref="D29:E29"/>
    <mergeCell ref="Q41:R41"/>
    <mergeCell ref="Q32:R32"/>
    <mergeCell ref="Q33:R33"/>
    <mergeCell ref="O31:P31"/>
    <mergeCell ref="F41:H41"/>
    <mergeCell ref="J40:K40"/>
    <mergeCell ref="J41:K41"/>
    <mergeCell ref="D38:E38"/>
    <mergeCell ref="K27:L27"/>
    <mergeCell ref="F31:N31"/>
    <mergeCell ref="F32:N32"/>
    <mergeCell ref="F39:H39"/>
    <mergeCell ref="I39:N39"/>
    <mergeCell ref="F38:H38"/>
    <mergeCell ref="F36:H36"/>
    <mergeCell ref="I38:N38"/>
    <mergeCell ref="F33:N33"/>
    <mergeCell ref="F37:H37"/>
    <mergeCell ref="I37:N37"/>
    <mergeCell ref="I36:N36"/>
    <mergeCell ref="D49:E49"/>
    <mergeCell ref="I49:J49"/>
    <mergeCell ref="O45:R50"/>
    <mergeCell ref="O44:R44"/>
    <mergeCell ref="D50:E50"/>
    <mergeCell ref="D48:E48"/>
    <mergeCell ref="K48:L48"/>
    <mergeCell ref="M48:N48"/>
    <mergeCell ref="M49:N49"/>
    <mergeCell ref="I48:J48"/>
    <mergeCell ref="F44:H44"/>
    <mergeCell ref="I44:N44"/>
    <mergeCell ref="I45:N45"/>
    <mergeCell ref="I46:N46"/>
    <mergeCell ref="Q42:R42"/>
    <mergeCell ref="F42:H42"/>
    <mergeCell ref="I42:N42"/>
    <mergeCell ref="Q43:R43"/>
    <mergeCell ref="M27:N27"/>
    <mergeCell ref="K47:L47"/>
    <mergeCell ref="M47:N47"/>
    <mergeCell ref="F50:H50"/>
    <mergeCell ref="I50:N50"/>
    <mergeCell ref="M40:N40"/>
    <mergeCell ref="I47:J47"/>
    <mergeCell ref="F43:H43"/>
    <mergeCell ref="M41:N41"/>
    <mergeCell ref="F40:H40"/>
    <mergeCell ref="K49:L49"/>
    <mergeCell ref="M28:N28"/>
    <mergeCell ref="I43:N43"/>
    <mergeCell ref="F35:N35"/>
    <mergeCell ref="K28:L28"/>
    <mergeCell ref="K29:L29"/>
    <mergeCell ref="F30:M30"/>
    <mergeCell ref="F34:N34"/>
    <mergeCell ref="F45:H45"/>
    <mergeCell ref="F46:H46"/>
    <mergeCell ref="Q23:R23"/>
    <mergeCell ref="Q25:R25"/>
    <mergeCell ref="I27:J27"/>
    <mergeCell ref="O25:P25"/>
    <mergeCell ref="O24:R24"/>
    <mergeCell ref="I24:N24"/>
    <mergeCell ref="I26:N26"/>
    <mergeCell ref="O26:R26"/>
    <mergeCell ref="O27:R29"/>
    <mergeCell ref="I23:N23"/>
    <mergeCell ref="Q13:R13"/>
    <mergeCell ref="Q12:R12"/>
    <mergeCell ref="D9:F9"/>
    <mergeCell ref="G9:H9"/>
    <mergeCell ref="F11:N11"/>
    <mergeCell ref="F12:N12"/>
    <mergeCell ref="F13:N13"/>
    <mergeCell ref="P5:Q5"/>
    <mergeCell ref="I4:O4"/>
    <mergeCell ref="I5:O5"/>
    <mergeCell ref="C6:C7"/>
    <mergeCell ref="I9:O9"/>
    <mergeCell ref="P9:R9"/>
    <mergeCell ref="M20:N20"/>
    <mergeCell ref="Q21:R21"/>
    <mergeCell ref="F18:H18"/>
    <mergeCell ref="F22:H22"/>
    <mergeCell ref="R4:R5"/>
    <mergeCell ref="P7:Q7"/>
    <mergeCell ref="I7:O7"/>
    <mergeCell ref="F10:M10"/>
    <mergeCell ref="D7:H7"/>
    <mergeCell ref="P4:Q4"/>
    <mergeCell ref="Q22:R22"/>
    <mergeCell ref="F14:N14"/>
    <mergeCell ref="F15:N15"/>
    <mergeCell ref="F20:H20"/>
    <mergeCell ref="F19:H19"/>
    <mergeCell ref="J20:K20"/>
    <mergeCell ref="I16:N16"/>
    <mergeCell ref="F17:H17"/>
    <mergeCell ref="I17:N17"/>
    <mergeCell ref="F16:H16"/>
    <mergeCell ref="O11:P11"/>
  </mergeCells>
  <phoneticPr fontId="0" type="noConversion"/>
  <dataValidations count="5">
    <dataValidation type="decimal" allowBlank="1" showInputMessage="1" showErrorMessage="1" sqref="Q38:R38 Q18:R18" xr:uid="{00000000-0002-0000-0900-000002000000}">
      <formula1>0</formula1>
      <formula2>0.99</formula2>
    </dataValidation>
    <dataValidation type="list" allowBlank="1" showInputMessage="1" showErrorMessage="1" sqref="Q25:R25" xr:uid="{00000000-0002-0000-0900-000003000000}">
      <formula1>rngVVXTyp</formula1>
    </dataValidation>
    <dataValidation type="list" allowBlank="1" showInputMessage="1" showErrorMessage="1" sqref="Q23:R23" xr:uid="{F3DA1480-6A78-4680-883F-FC7C3DBA589E}">
      <formula1>rngFläkthjul</formula1>
    </dataValidation>
    <dataValidation type="list" allowBlank="1" showInputMessage="1" showErrorMessage="1" sqref="F48:F49" xr:uid="{F8B4B158-7C9C-4DF4-A721-8C500BDD1F83}">
      <formula1>rngFilter</formula1>
    </dataValidation>
    <dataValidation type="list" allowBlank="1" showInputMessage="1" showErrorMessage="1" sqref="Q43:R43 F28:F29" xr:uid="{00000000-0002-0000-0900-000000000000}">
      <formula1>#REF!</formula1>
    </dataValidation>
  </dataValidations>
  <printOptions horizontalCentered="1" verticalCentered="1"/>
  <pageMargins left="0.39370078740157483" right="0.31" top="0.19685039370078741" bottom="0.33" header="0.35433070866141736" footer="0.28000000000000003"/>
  <pageSetup paperSize="9" orientation="portrait" r:id="rId1"/>
  <headerFooter alignWithMargins="0">
    <oddFooter>&amp;L&amp;8FunkiS&amp;R&amp;8v 1.1</oddFooter>
  </headerFooter>
  <drawing r:id="rId2"/>
  <legacyDrawing r:id="rId3"/>
  <oleObjects>
    <mc:AlternateContent xmlns:mc="http://schemas.openxmlformats.org/markup-compatibility/2006">
      <mc:Choice Requires="x14">
        <oleObject progId="Equation.3" shapeId="162818" r:id="rId4">
          <objectPr defaultSize="0" autoPict="0" r:id="rId5">
            <anchor moveWithCells="1">
              <from>
                <xdr:col>5</xdr:col>
                <xdr:colOff>38100</xdr:colOff>
                <xdr:row>50</xdr:row>
                <xdr:rowOff>142875</xdr:rowOff>
              </from>
              <to>
                <xdr:col>7</xdr:col>
                <xdr:colOff>409575</xdr:colOff>
                <xdr:row>53</xdr:row>
                <xdr:rowOff>104775</xdr:rowOff>
              </to>
            </anchor>
          </objectPr>
        </oleObject>
      </mc:Choice>
      <mc:Fallback>
        <oleObject progId="Equation.3" shapeId="162818" r:id="rId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21">
    <pageSetUpPr autoPageBreaks="0"/>
  </sheetPr>
  <dimension ref="A1:W51"/>
  <sheetViews>
    <sheetView showGridLines="0" zoomScaleNormal="50" workbookViewId="0">
      <selection activeCell="E5" sqref="E5"/>
    </sheetView>
  </sheetViews>
  <sheetFormatPr defaultColWidth="8.85546875" defaultRowHeight="12.75" x14ac:dyDescent="0.2"/>
  <cols>
    <col min="1" max="1" width="9.42578125" style="196" customWidth="1"/>
    <col min="2" max="2" width="1.42578125" style="196" customWidth="1"/>
    <col min="3" max="3" width="0.85546875" hidden="1" customWidth="1"/>
    <col min="4" max="4" width="3.140625" customWidth="1"/>
    <col min="5" max="5" width="6.42578125" customWidth="1"/>
    <col min="6" max="6" width="3.140625" customWidth="1"/>
    <col min="7" max="7" width="12.42578125" customWidth="1"/>
    <col min="8" max="8" width="3.85546875" customWidth="1"/>
    <col min="9" max="9" width="4.42578125" customWidth="1"/>
    <col min="10" max="10" width="3.42578125" customWidth="1"/>
    <col min="11" max="11" width="4.140625" customWidth="1"/>
    <col min="12" max="14" width="3.42578125" customWidth="1"/>
    <col min="15" max="16" width="4.42578125" customWidth="1"/>
    <col min="17" max="17" width="3.42578125" customWidth="1"/>
    <col min="18" max="18" width="4.42578125" customWidth="1"/>
    <col min="19" max="19" width="3" customWidth="1"/>
    <col min="20" max="20" width="3.42578125" customWidth="1"/>
    <col min="21" max="21" width="3" customWidth="1"/>
    <col min="22" max="22" width="4.42578125" customWidth="1"/>
    <col min="23" max="23" width="13.42578125" customWidth="1"/>
  </cols>
  <sheetData>
    <row r="1" spans="1:23" s="196" customFormat="1" ht="9" customHeight="1" x14ac:dyDescent="0.2"/>
    <row r="2" spans="1:23" s="196" customFormat="1" ht="8.25" customHeight="1" x14ac:dyDescent="0.2"/>
    <row r="3" spans="1:23" s="196" customFormat="1" ht="9" customHeight="1" x14ac:dyDescent="0.2">
      <c r="A3" s="197"/>
      <c r="B3" s="197"/>
      <c r="C3" s="197"/>
      <c r="D3" s="197"/>
      <c r="E3" s="197"/>
      <c r="F3" s="197"/>
      <c r="G3" s="197"/>
      <c r="H3" s="197"/>
      <c r="I3" s="197"/>
      <c r="J3" s="197"/>
      <c r="K3" s="197"/>
      <c r="L3" s="197"/>
      <c r="M3" s="197"/>
      <c r="N3" s="197"/>
      <c r="O3" s="197"/>
      <c r="P3" s="197"/>
      <c r="Q3" s="197"/>
      <c r="R3" s="197"/>
      <c r="S3" s="197"/>
      <c r="T3" s="197"/>
      <c r="U3" s="197"/>
      <c r="V3" s="197"/>
      <c r="W3" s="197"/>
    </row>
    <row r="4" spans="1:23" ht="9" customHeight="1" x14ac:dyDescent="0.2">
      <c r="A4" s="197"/>
      <c r="B4" s="197"/>
      <c r="C4" s="137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</row>
    <row r="5" spans="1:23" ht="9" customHeight="1" x14ac:dyDescent="0.2">
      <c r="A5" s="197"/>
      <c r="B5" s="197"/>
      <c r="C5" s="137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</row>
    <row r="6" spans="1:23" ht="15" customHeight="1" x14ac:dyDescent="0.25">
      <c r="A6" s="197"/>
      <c r="C6" s="44"/>
      <c r="D6" s="39"/>
      <c r="E6" s="715" t="s">
        <v>382</v>
      </c>
      <c r="F6" s="716"/>
      <c r="G6" s="716"/>
      <c r="H6" s="716"/>
      <c r="I6" s="716"/>
      <c r="J6" s="716"/>
      <c r="K6" s="717" t="s">
        <v>340</v>
      </c>
      <c r="L6" s="718"/>
      <c r="M6" s="718"/>
      <c r="N6" s="718"/>
      <c r="O6" s="718"/>
      <c r="P6" s="718"/>
      <c r="Q6" s="719"/>
      <c r="R6" s="717" t="s">
        <v>341</v>
      </c>
      <c r="S6" s="718"/>
      <c r="T6" s="718"/>
      <c r="U6" s="718"/>
      <c r="V6" s="719"/>
      <c r="W6" s="572" t="s">
        <v>550</v>
      </c>
    </row>
    <row r="7" spans="1:23" ht="24.75" customHeight="1" x14ac:dyDescent="0.2">
      <c r="A7" s="197"/>
      <c r="D7" s="39"/>
      <c r="E7" s="721"/>
      <c r="F7" s="722"/>
      <c r="G7" s="722"/>
      <c r="H7" s="722"/>
      <c r="I7" s="722"/>
      <c r="J7" s="723"/>
      <c r="K7" s="724">
        <f>A_Blankett!I5</f>
        <v>0</v>
      </c>
      <c r="L7" s="725"/>
      <c r="M7" s="725"/>
      <c r="N7" s="725"/>
      <c r="O7" s="725"/>
      <c r="P7" s="725"/>
      <c r="Q7" s="726"/>
      <c r="R7" s="602"/>
      <c r="S7" s="727"/>
      <c r="T7" s="727"/>
      <c r="U7" s="727"/>
      <c r="V7" s="603"/>
      <c r="W7" s="720"/>
    </row>
    <row r="8" spans="1:23" ht="12" customHeight="1" x14ac:dyDescent="0.2">
      <c r="D8" s="728" t="s">
        <v>221</v>
      </c>
      <c r="E8" s="717" t="s">
        <v>195</v>
      </c>
      <c r="F8" s="718"/>
      <c r="G8" s="718"/>
      <c r="H8" s="718"/>
      <c r="I8" s="718"/>
      <c r="J8" s="719"/>
      <c r="K8" s="729" t="s">
        <v>255</v>
      </c>
      <c r="L8" s="730"/>
      <c r="M8" s="730"/>
      <c r="N8" s="730"/>
      <c r="O8" s="730"/>
      <c r="P8" s="730"/>
      <c r="Q8" s="731"/>
      <c r="R8" s="729" t="s">
        <v>233</v>
      </c>
      <c r="S8" s="730"/>
      <c r="T8" s="730"/>
      <c r="U8" s="730"/>
      <c r="V8" s="731"/>
      <c r="W8" s="46" t="s">
        <v>196</v>
      </c>
    </row>
    <row r="9" spans="1:23" ht="14.25" customHeight="1" x14ac:dyDescent="0.2">
      <c r="D9" s="728"/>
      <c r="E9" s="732">
        <f>A_Blankett!$D$11</f>
        <v>0</v>
      </c>
      <c r="F9" s="733"/>
      <c r="G9" s="733"/>
      <c r="H9" s="733"/>
      <c r="I9" s="733"/>
      <c r="J9" s="734"/>
      <c r="K9" s="732">
        <f>A_Blankett!$D$19</f>
        <v>0</v>
      </c>
      <c r="L9" s="733"/>
      <c r="M9" s="733"/>
      <c r="N9" s="733"/>
      <c r="O9" s="733"/>
      <c r="P9" s="733"/>
      <c r="Q9" s="734"/>
      <c r="R9" s="732">
        <f>A_Blankett!$F$19</f>
        <v>0</v>
      </c>
      <c r="S9" s="733"/>
      <c r="T9" s="733"/>
      <c r="U9" s="733"/>
      <c r="V9" s="734"/>
      <c r="W9" s="7"/>
    </row>
    <row r="10" spans="1:23" ht="12" customHeight="1" x14ac:dyDescent="0.2">
      <c r="D10" s="728"/>
      <c r="E10" s="717" t="s">
        <v>297</v>
      </c>
      <c r="F10" s="718"/>
      <c r="G10" s="718"/>
      <c r="H10" s="719"/>
      <c r="I10" s="735"/>
      <c r="J10" s="736"/>
      <c r="K10" s="736"/>
      <c r="L10" s="737"/>
      <c r="M10" s="717" t="s">
        <v>208</v>
      </c>
      <c r="N10" s="718"/>
      <c r="O10" s="718"/>
      <c r="P10" s="718"/>
      <c r="Q10" s="719"/>
      <c r="R10" s="184"/>
      <c r="S10" s="188"/>
      <c r="T10" s="185"/>
      <c r="U10" s="47"/>
      <c r="V10" s="48"/>
      <c r="W10" s="45" t="s">
        <v>198</v>
      </c>
    </row>
    <row r="11" spans="1:23" ht="15" customHeight="1" x14ac:dyDescent="0.2">
      <c r="D11" s="728"/>
      <c r="E11" s="698"/>
      <c r="F11" s="738"/>
      <c r="G11" s="738"/>
      <c r="H11" s="739"/>
      <c r="I11" s="740"/>
      <c r="J11" s="741"/>
      <c r="K11" s="741"/>
      <c r="L11" s="742"/>
      <c r="M11" s="698"/>
      <c r="N11" s="701"/>
      <c r="O11" s="701"/>
      <c r="P11" s="701"/>
      <c r="Q11" s="743"/>
      <c r="R11" s="49"/>
      <c r="S11" s="49"/>
      <c r="T11" s="50"/>
      <c r="U11" s="50"/>
      <c r="V11" s="51"/>
      <c r="W11" s="146"/>
    </row>
    <row r="12" spans="1:23" ht="15" customHeight="1" x14ac:dyDescent="0.2">
      <c r="D12" s="41"/>
      <c r="E12" s="143"/>
      <c r="F12" s="143"/>
      <c r="G12" s="143"/>
      <c r="H12" s="143"/>
      <c r="I12" s="148"/>
      <c r="J12" s="148"/>
      <c r="K12" s="148"/>
      <c r="L12" s="148"/>
      <c r="M12" s="143"/>
      <c r="N12" s="149"/>
      <c r="O12" s="149"/>
      <c r="P12" s="149"/>
      <c r="Q12" s="149"/>
      <c r="R12" s="147"/>
      <c r="S12" s="147"/>
      <c r="W12" s="150"/>
    </row>
    <row r="13" spans="1:23" ht="15" customHeight="1" x14ac:dyDescent="0.2">
      <c r="D13" s="41"/>
      <c r="E13" s="688"/>
      <c r="F13" s="689"/>
      <c r="G13" s="689"/>
      <c r="H13" s="689"/>
      <c r="I13" s="689"/>
      <c r="J13" s="689"/>
      <c r="K13" s="689"/>
      <c r="L13" s="689"/>
      <c r="M13" s="689"/>
      <c r="N13" s="690"/>
      <c r="O13" s="578"/>
      <c r="P13" s="447"/>
      <c r="Q13" s="35"/>
      <c r="R13" s="691"/>
      <c r="S13" s="691"/>
      <c r="T13" s="691"/>
      <c r="U13" s="691"/>
      <c r="V13" s="691"/>
      <c r="W13" s="692"/>
    </row>
    <row r="14" spans="1:23" ht="15" customHeight="1" x14ac:dyDescent="0.2">
      <c r="D14" s="41"/>
      <c r="E14" s="693"/>
      <c r="F14" s="441"/>
      <c r="G14" s="441"/>
      <c r="H14" s="441"/>
      <c r="I14" s="441"/>
      <c r="J14" s="441"/>
      <c r="K14" s="441"/>
      <c r="L14" s="441"/>
      <c r="M14" s="441"/>
      <c r="N14" s="694"/>
      <c r="O14" s="695"/>
      <c r="P14" s="696"/>
      <c r="Q14" s="696"/>
      <c r="R14" s="696"/>
      <c r="S14" s="696"/>
      <c r="T14" s="696"/>
      <c r="U14" s="696"/>
      <c r="V14" s="696"/>
      <c r="W14" s="697"/>
    </row>
    <row r="15" spans="1:23" ht="20.100000000000001" customHeight="1" x14ac:dyDescent="0.2">
      <c r="D15" s="41"/>
      <c r="E15" s="698"/>
      <c r="F15" s="699"/>
      <c r="G15" s="699"/>
      <c r="H15" s="699"/>
      <c r="I15" s="699"/>
      <c r="J15" s="699"/>
      <c r="K15" s="699"/>
      <c r="L15" s="699"/>
      <c r="M15" s="699"/>
      <c r="N15" s="700"/>
      <c r="O15" s="701"/>
      <c r="P15" s="702"/>
      <c r="Q15" s="702"/>
      <c r="R15" s="702"/>
      <c r="S15" s="702"/>
      <c r="T15" s="702"/>
      <c r="U15" s="702"/>
      <c r="V15" s="702"/>
      <c r="W15" s="573"/>
    </row>
    <row r="16" spans="1:23" ht="12" customHeight="1" x14ac:dyDescent="0.25">
      <c r="D16" s="4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W16" s="50"/>
    </row>
    <row r="17" spans="1:23" s="5" customFormat="1" ht="13.5" customHeight="1" x14ac:dyDescent="0.2">
      <c r="A17" s="196"/>
      <c r="B17" s="218"/>
      <c r="D17" s="41" t="s">
        <v>222</v>
      </c>
      <c r="E17" s="703"/>
      <c r="F17" s="704"/>
      <c r="G17" s="705"/>
      <c r="H17" s="706"/>
      <c r="I17" s="707" t="s">
        <v>552</v>
      </c>
      <c r="J17" s="708"/>
      <c r="K17" s="707" t="s">
        <v>551</v>
      </c>
      <c r="L17" s="708"/>
      <c r="M17" s="707" t="s">
        <v>554</v>
      </c>
      <c r="N17" s="708"/>
      <c r="O17" s="31"/>
      <c r="P17" s="707" t="s">
        <v>556</v>
      </c>
      <c r="Q17" s="708"/>
      <c r="R17" s="707" t="s">
        <v>551</v>
      </c>
      <c r="S17" s="708"/>
      <c r="T17" s="707" t="s">
        <v>558</v>
      </c>
      <c r="U17" s="708"/>
      <c r="V17" s="31" t="s">
        <v>561</v>
      </c>
      <c r="W17" s="709" t="s">
        <v>228</v>
      </c>
    </row>
    <row r="18" spans="1:23" s="11" customFormat="1" ht="9.75" customHeight="1" x14ac:dyDescent="0.2">
      <c r="A18" s="218"/>
      <c r="B18" s="220"/>
      <c r="D18" s="42"/>
      <c r="E18" s="711" t="s">
        <v>229</v>
      </c>
      <c r="F18" s="712"/>
      <c r="G18" s="711" t="s">
        <v>230</v>
      </c>
      <c r="H18" s="712"/>
      <c r="I18" s="713" t="s">
        <v>553</v>
      </c>
      <c r="J18" s="714"/>
      <c r="K18" s="713" t="s">
        <v>555</v>
      </c>
      <c r="L18" s="714"/>
      <c r="M18" s="713" t="s">
        <v>555</v>
      </c>
      <c r="N18" s="714"/>
      <c r="O18" s="32"/>
      <c r="P18" s="713" t="s">
        <v>557</v>
      </c>
      <c r="Q18" s="714"/>
      <c r="R18" s="713" t="s">
        <v>201</v>
      </c>
      <c r="S18" s="714"/>
      <c r="T18" s="713"/>
      <c r="U18" s="714"/>
      <c r="V18" s="32" t="s">
        <v>562</v>
      </c>
      <c r="W18" s="710"/>
    </row>
    <row r="19" spans="1:23" s="11" customFormat="1" ht="20.100000000000001" customHeight="1" x14ac:dyDescent="0.2">
      <c r="A19" s="220"/>
      <c r="B19" s="220"/>
      <c r="D19" s="43">
        <v>1</v>
      </c>
      <c r="E19" s="685"/>
      <c r="F19" s="685"/>
      <c r="G19" s="685"/>
      <c r="H19" s="685"/>
      <c r="I19" s="686"/>
      <c r="J19" s="686"/>
      <c r="K19" s="686"/>
      <c r="L19" s="686"/>
      <c r="M19" s="670"/>
      <c r="N19" s="670"/>
      <c r="O19" s="8"/>
      <c r="P19" s="671"/>
      <c r="Q19" s="672"/>
      <c r="R19" s="686"/>
      <c r="S19" s="686"/>
      <c r="T19" s="670"/>
      <c r="U19" s="670"/>
      <c r="V19" s="8"/>
      <c r="W19" s="52"/>
    </row>
    <row r="20" spans="1:23" ht="20.100000000000001" customHeight="1" x14ac:dyDescent="0.2">
      <c r="A20" s="220"/>
      <c r="D20" s="43">
        <v>2</v>
      </c>
      <c r="E20" s="685"/>
      <c r="F20" s="685"/>
      <c r="G20" s="685"/>
      <c r="H20" s="685"/>
      <c r="I20" s="686"/>
      <c r="J20" s="686"/>
      <c r="K20" s="686"/>
      <c r="L20" s="686"/>
      <c r="M20" s="670"/>
      <c r="N20" s="670"/>
      <c r="O20" s="8"/>
      <c r="P20" s="686"/>
      <c r="Q20" s="686"/>
      <c r="R20" s="686"/>
      <c r="S20" s="686"/>
      <c r="T20" s="670"/>
      <c r="U20" s="670"/>
      <c r="V20" s="8"/>
      <c r="W20" s="52"/>
    </row>
    <row r="21" spans="1:23" ht="20.100000000000001" customHeight="1" x14ac:dyDescent="0.2">
      <c r="D21" s="43">
        <v>3</v>
      </c>
      <c r="E21" s="685"/>
      <c r="F21" s="685"/>
      <c r="G21" s="685"/>
      <c r="H21" s="685"/>
      <c r="I21" s="686"/>
      <c r="J21" s="686"/>
      <c r="K21" s="686"/>
      <c r="L21" s="686"/>
      <c r="M21" s="670"/>
      <c r="N21" s="670"/>
      <c r="O21" s="8"/>
      <c r="P21" s="686"/>
      <c r="Q21" s="686"/>
      <c r="R21" s="686"/>
      <c r="S21" s="686"/>
      <c r="T21" s="670"/>
      <c r="U21" s="670"/>
      <c r="V21" s="8"/>
      <c r="W21" s="52"/>
    </row>
    <row r="22" spans="1:23" ht="20.100000000000001" customHeight="1" x14ac:dyDescent="0.2">
      <c r="D22" s="43">
        <v>4</v>
      </c>
      <c r="E22" s="685"/>
      <c r="F22" s="685"/>
      <c r="G22" s="685"/>
      <c r="H22" s="685"/>
      <c r="I22" s="686"/>
      <c r="J22" s="686"/>
      <c r="K22" s="686"/>
      <c r="L22" s="686"/>
      <c r="M22" s="670"/>
      <c r="N22" s="670"/>
      <c r="O22" s="8"/>
      <c r="P22" s="686"/>
      <c r="Q22" s="686"/>
      <c r="R22" s="686"/>
      <c r="S22" s="686"/>
      <c r="T22" s="670"/>
      <c r="U22" s="670"/>
      <c r="V22" s="8"/>
      <c r="W22" s="52"/>
    </row>
    <row r="23" spans="1:23" s="12" customFormat="1" ht="20.100000000000001" customHeight="1" x14ac:dyDescent="0.2">
      <c r="A23" s="196"/>
      <c r="B23" s="226"/>
      <c r="D23" s="43">
        <v>5</v>
      </c>
      <c r="E23" s="685"/>
      <c r="F23" s="685"/>
      <c r="G23" s="685"/>
      <c r="H23" s="685"/>
      <c r="I23" s="686"/>
      <c r="J23" s="686"/>
      <c r="K23" s="686"/>
      <c r="L23" s="686"/>
      <c r="M23" s="670"/>
      <c r="N23" s="670"/>
      <c r="O23" s="8"/>
      <c r="P23" s="686"/>
      <c r="Q23" s="686"/>
      <c r="R23" s="686"/>
      <c r="S23" s="686"/>
      <c r="T23" s="670"/>
      <c r="U23" s="670"/>
      <c r="V23" s="8"/>
      <c r="W23" s="52"/>
    </row>
    <row r="24" spans="1:23" s="2" customFormat="1" ht="20.100000000000001" customHeight="1" x14ac:dyDescent="0.2">
      <c r="A24" s="226"/>
      <c r="B24" s="227"/>
      <c r="D24" s="43">
        <v>6</v>
      </c>
      <c r="E24" s="685"/>
      <c r="F24" s="685"/>
      <c r="G24" s="685"/>
      <c r="H24" s="685"/>
      <c r="I24" s="686"/>
      <c r="J24" s="686"/>
      <c r="K24" s="686"/>
      <c r="L24" s="686"/>
      <c r="M24" s="670"/>
      <c r="N24" s="670"/>
      <c r="O24" s="8"/>
      <c r="P24" s="686"/>
      <c r="Q24" s="686"/>
      <c r="R24" s="686"/>
      <c r="S24" s="686"/>
      <c r="T24" s="670"/>
      <c r="U24" s="670"/>
      <c r="V24" s="8"/>
      <c r="W24" s="52"/>
    </row>
    <row r="25" spans="1:23" s="2" customFormat="1" ht="20.100000000000001" customHeight="1" x14ac:dyDescent="0.2">
      <c r="A25" s="227"/>
      <c r="B25" s="227"/>
      <c r="D25" s="43">
        <v>7</v>
      </c>
      <c r="E25" s="677"/>
      <c r="F25" s="678"/>
      <c r="G25" s="677"/>
      <c r="H25" s="678"/>
      <c r="I25" s="671"/>
      <c r="J25" s="672"/>
      <c r="K25" s="671"/>
      <c r="L25" s="672"/>
      <c r="M25" s="670"/>
      <c r="N25" s="670"/>
      <c r="O25" s="53"/>
      <c r="P25" s="671"/>
      <c r="Q25" s="672"/>
      <c r="R25" s="671"/>
      <c r="S25" s="672"/>
      <c r="T25" s="670"/>
      <c r="U25" s="670"/>
      <c r="V25" s="8"/>
      <c r="W25" s="52"/>
    </row>
    <row r="26" spans="1:23" s="2" customFormat="1" ht="20.100000000000001" customHeight="1" x14ac:dyDescent="0.2">
      <c r="A26" s="227"/>
      <c r="B26" s="227"/>
      <c r="D26" s="43">
        <v>8</v>
      </c>
      <c r="E26" s="677"/>
      <c r="F26" s="678"/>
      <c r="G26" s="677"/>
      <c r="H26" s="678"/>
      <c r="I26" s="671"/>
      <c r="J26" s="672"/>
      <c r="K26" s="671"/>
      <c r="L26" s="672"/>
      <c r="M26" s="670"/>
      <c r="N26" s="670"/>
      <c r="O26" s="53"/>
      <c r="P26" s="671"/>
      <c r="Q26" s="672"/>
      <c r="R26" s="671"/>
      <c r="S26" s="672"/>
      <c r="T26" s="670"/>
      <c r="U26" s="670"/>
      <c r="V26" s="8"/>
      <c r="W26" s="52"/>
    </row>
    <row r="27" spans="1:23" s="2" customFormat="1" ht="20.100000000000001" customHeight="1" x14ac:dyDescent="0.2">
      <c r="A27" s="227"/>
      <c r="B27" s="227"/>
      <c r="D27" s="43">
        <v>9</v>
      </c>
      <c r="E27" s="677"/>
      <c r="F27" s="678"/>
      <c r="G27" s="677"/>
      <c r="H27" s="678"/>
      <c r="I27" s="671"/>
      <c r="J27" s="672"/>
      <c r="K27" s="671"/>
      <c r="L27" s="672"/>
      <c r="M27" s="670"/>
      <c r="N27" s="670"/>
      <c r="O27" s="53"/>
      <c r="P27" s="671"/>
      <c r="Q27" s="672"/>
      <c r="R27" s="671"/>
      <c r="S27" s="672"/>
      <c r="T27" s="670"/>
      <c r="U27" s="670"/>
      <c r="V27" s="8"/>
      <c r="W27" s="52"/>
    </row>
    <row r="28" spans="1:23" s="2" customFormat="1" ht="20.100000000000001" customHeight="1" x14ac:dyDescent="0.2">
      <c r="A28" s="227"/>
      <c r="B28" s="227"/>
      <c r="D28" s="43">
        <v>10</v>
      </c>
      <c r="E28" s="677"/>
      <c r="F28" s="678"/>
      <c r="G28" s="677"/>
      <c r="H28" s="678"/>
      <c r="I28" s="671"/>
      <c r="J28" s="672"/>
      <c r="K28" s="671"/>
      <c r="L28" s="672"/>
      <c r="M28" s="670"/>
      <c r="N28" s="670"/>
      <c r="O28" s="53"/>
      <c r="P28" s="671"/>
      <c r="Q28" s="672"/>
      <c r="R28" s="671"/>
      <c r="S28" s="672"/>
      <c r="T28" s="670"/>
      <c r="U28" s="670"/>
      <c r="V28" s="8"/>
      <c r="W28" s="52"/>
    </row>
    <row r="29" spans="1:23" s="2" customFormat="1" ht="20.100000000000001" customHeight="1" x14ac:dyDescent="0.2">
      <c r="A29" s="227"/>
      <c r="B29" s="227"/>
      <c r="D29" s="43">
        <v>11</v>
      </c>
      <c r="E29" s="677"/>
      <c r="F29" s="678"/>
      <c r="G29" s="677"/>
      <c r="H29" s="678"/>
      <c r="I29" s="671"/>
      <c r="J29" s="672"/>
      <c r="K29" s="671"/>
      <c r="L29" s="672"/>
      <c r="M29" s="670"/>
      <c r="N29" s="670"/>
      <c r="O29" s="53"/>
      <c r="P29" s="671"/>
      <c r="Q29" s="672"/>
      <c r="R29" s="671"/>
      <c r="S29" s="672"/>
      <c r="T29" s="670"/>
      <c r="U29" s="670"/>
      <c r="V29" s="8"/>
      <c r="W29" s="52"/>
    </row>
    <row r="30" spans="1:23" s="2" customFormat="1" ht="20.100000000000001" customHeight="1" x14ac:dyDescent="0.2">
      <c r="A30" s="227"/>
      <c r="B30" s="227"/>
      <c r="D30" s="43">
        <v>12</v>
      </c>
      <c r="E30" s="677"/>
      <c r="F30" s="678"/>
      <c r="G30" s="677"/>
      <c r="H30" s="678"/>
      <c r="I30" s="671"/>
      <c r="J30" s="672"/>
      <c r="K30" s="671"/>
      <c r="L30" s="672"/>
      <c r="M30" s="670"/>
      <c r="N30" s="670"/>
      <c r="O30" s="53"/>
      <c r="P30" s="671"/>
      <c r="Q30" s="672"/>
      <c r="R30" s="671"/>
      <c r="S30" s="672"/>
      <c r="T30" s="670"/>
      <c r="U30" s="670"/>
      <c r="V30" s="8"/>
      <c r="W30" s="52"/>
    </row>
    <row r="31" spans="1:23" s="2" customFormat="1" ht="20.100000000000001" customHeight="1" x14ac:dyDescent="0.2">
      <c r="A31" s="227"/>
      <c r="B31" s="227"/>
      <c r="D31" s="43">
        <v>13</v>
      </c>
      <c r="E31" s="677"/>
      <c r="F31" s="678"/>
      <c r="G31" s="677"/>
      <c r="H31" s="678"/>
      <c r="I31" s="671"/>
      <c r="J31" s="672"/>
      <c r="K31" s="671"/>
      <c r="L31" s="672"/>
      <c r="M31" s="670"/>
      <c r="N31" s="670"/>
      <c r="O31" s="53"/>
      <c r="P31" s="671"/>
      <c r="Q31" s="672"/>
      <c r="R31" s="671"/>
      <c r="S31" s="672"/>
      <c r="T31" s="670"/>
      <c r="U31" s="670"/>
      <c r="V31" s="8"/>
      <c r="W31" s="52"/>
    </row>
    <row r="32" spans="1:23" s="2" customFormat="1" ht="20.100000000000001" customHeight="1" x14ac:dyDescent="0.2">
      <c r="A32" s="227"/>
      <c r="B32" s="227"/>
      <c r="D32" s="43">
        <v>14</v>
      </c>
      <c r="E32" s="685"/>
      <c r="F32" s="685"/>
      <c r="G32" s="685"/>
      <c r="H32" s="685"/>
      <c r="I32" s="686"/>
      <c r="J32" s="686"/>
      <c r="K32" s="686"/>
      <c r="L32" s="686"/>
      <c r="M32" s="670"/>
      <c r="N32" s="670"/>
      <c r="O32" s="8"/>
      <c r="P32" s="686"/>
      <c r="Q32" s="686"/>
      <c r="R32" s="686"/>
      <c r="S32" s="686"/>
      <c r="T32" s="670"/>
      <c r="U32" s="670"/>
      <c r="V32" s="8"/>
      <c r="W32" s="52"/>
    </row>
    <row r="33" spans="1:23" s="13" customFormat="1" ht="20.100000000000001" customHeight="1" x14ac:dyDescent="0.2">
      <c r="A33" s="227"/>
      <c r="B33" s="229"/>
      <c r="D33" s="43">
        <v>15</v>
      </c>
      <c r="E33" s="685"/>
      <c r="F33" s="685"/>
      <c r="G33" s="685"/>
      <c r="H33" s="685"/>
      <c r="I33" s="686"/>
      <c r="J33" s="686"/>
      <c r="K33" s="686"/>
      <c r="L33" s="686"/>
      <c r="M33" s="670"/>
      <c r="N33" s="670"/>
      <c r="O33" s="8"/>
      <c r="P33" s="686"/>
      <c r="Q33" s="686"/>
      <c r="R33" s="686"/>
      <c r="S33" s="686"/>
      <c r="T33" s="670"/>
      <c r="U33" s="670"/>
      <c r="V33" s="8"/>
      <c r="W33" s="52"/>
    </row>
    <row r="34" spans="1:23" ht="20.100000000000001" customHeight="1" x14ac:dyDescent="0.2">
      <c r="A34" s="229"/>
      <c r="D34" s="43">
        <v>16</v>
      </c>
      <c r="E34" s="685"/>
      <c r="F34" s="685"/>
      <c r="G34" s="685"/>
      <c r="H34" s="685"/>
      <c r="I34" s="686"/>
      <c r="J34" s="686"/>
      <c r="K34" s="686"/>
      <c r="L34" s="686"/>
      <c r="M34" s="670"/>
      <c r="N34" s="670"/>
      <c r="O34" s="8"/>
      <c r="P34" s="686"/>
      <c r="Q34" s="686"/>
      <c r="R34" s="686"/>
      <c r="S34" s="686"/>
      <c r="T34" s="670"/>
      <c r="U34" s="670"/>
      <c r="V34" s="8"/>
      <c r="W34" s="52"/>
    </row>
    <row r="35" spans="1:23" ht="20.100000000000001" customHeight="1" x14ac:dyDescent="0.2">
      <c r="D35" s="43">
        <v>17</v>
      </c>
      <c r="E35" s="685"/>
      <c r="F35" s="685"/>
      <c r="G35" s="685"/>
      <c r="H35" s="685"/>
      <c r="I35" s="686"/>
      <c r="J35" s="686"/>
      <c r="K35" s="687" t="s">
        <v>536</v>
      </c>
      <c r="L35" s="686"/>
      <c r="M35" s="670"/>
      <c r="N35" s="670"/>
      <c r="O35" s="8"/>
      <c r="P35" s="686"/>
      <c r="Q35" s="686"/>
      <c r="R35" s="686"/>
      <c r="S35" s="686"/>
      <c r="T35" s="670"/>
      <c r="U35" s="670"/>
      <c r="V35" s="8"/>
      <c r="W35" s="52"/>
    </row>
    <row r="36" spans="1:23" ht="20.100000000000001" customHeight="1" x14ac:dyDescent="0.2">
      <c r="D36" s="43">
        <v>18</v>
      </c>
      <c r="E36" s="685"/>
      <c r="F36" s="685"/>
      <c r="G36" s="685"/>
      <c r="H36" s="685"/>
      <c r="I36" s="686"/>
      <c r="J36" s="686"/>
      <c r="K36" s="686"/>
      <c r="L36" s="686"/>
      <c r="M36" s="670"/>
      <c r="N36" s="670"/>
      <c r="O36" s="8"/>
      <c r="P36" s="686"/>
      <c r="Q36" s="686"/>
      <c r="R36" s="686"/>
      <c r="S36" s="686"/>
      <c r="T36" s="670"/>
      <c r="U36" s="670"/>
      <c r="V36" s="8"/>
      <c r="W36" s="52"/>
    </row>
    <row r="37" spans="1:23" ht="20.100000000000001" customHeight="1" x14ac:dyDescent="0.2">
      <c r="D37" s="43">
        <v>19</v>
      </c>
      <c r="E37" s="685"/>
      <c r="F37" s="685"/>
      <c r="G37" s="685"/>
      <c r="H37" s="685"/>
      <c r="I37" s="686"/>
      <c r="J37" s="686"/>
      <c r="K37" s="686"/>
      <c r="L37" s="686"/>
      <c r="M37" s="670"/>
      <c r="N37" s="670"/>
      <c r="O37" s="8"/>
      <c r="P37" s="686"/>
      <c r="Q37" s="686"/>
      <c r="R37" s="686"/>
      <c r="S37" s="686"/>
      <c r="T37" s="670"/>
      <c r="U37" s="670"/>
      <c r="V37" s="8"/>
      <c r="W37" s="52"/>
    </row>
    <row r="38" spans="1:23" ht="20.100000000000001" customHeight="1" x14ac:dyDescent="0.2">
      <c r="D38" s="43">
        <v>20</v>
      </c>
      <c r="E38" s="677"/>
      <c r="F38" s="678"/>
      <c r="G38" s="677"/>
      <c r="H38" s="678"/>
      <c r="I38" s="671"/>
      <c r="J38" s="672"/>
      <c r="K38" s="671"/>
      <c r="L38" s="672"/>
      <c r="M38" s="670"/>
      <c r="N38" s="670"/>
      <c r="O38" s="53"/>
      <c r="P38" s="671"/>
      <c r="Q38" s="672"/>
      <c r="R38" s="671"/>
      <c r="S38" s="672"/>
      <c r="T38" s="670"/>
      <c r="U38" s="670"/>
      <c r="V38" s="8"/>
      <c r="W38" s="52"/>
    </row>
    <row r="39" spans="1:23" ht="9" customHeight="1" x14ac:dyDescent="0.2">
      <c r="D39" s="42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5"/>
    </row>
    <row r="40" spans="1:23" ht="20.100000000000001" customHeight="1" x14ac:dyDescent="0.2">
      <c r="D40" s="42"/>
      <c r="E40" s="675" t="s">
        <v>228</v>
      </c>
      <c r="F40" s="676"/>
      <c r="G40" s="668"/>
      <c r="H40" s="668"/>
      <c r="I40" s="668"/>
      <c r="J40" s="668"/>
      <c r="K40" s="668"/>
      <c r="L40" s="668"/>
      <c r="M40" s="668"/>
      <c r="N40" s="668"/>
      <c r="O40" s="668"/>
      <c r="P40" s="668"/>
      <c r="Q40" s="668"/>
      <c r="R40" s="668"/>
      <c r="S40" s="668"/>
      <c r="T40" s="668"/>
      <c r="U40" s="668"/>
      <c r="V40" s="668"/>
      <c r="W40" s="669"/>
    </row>
    <row r="41" spans="1:23" ht="20.100000000000001" customHeight="1" x14ac:dyDescent="0.2">
      <c r="D41" s="42"/>
      <c r="E41" s="667"/>
      <c r="F41" s="668"/>
      <c r="G41" s="668"/>
      <c r="H41" s="668"/>
      <c r="I41" s="668"/>
      <c r="J41" s="668"/>
      <c r="K41" s="668"/>
      <c r="L41" s="668"/>
      <c r="M41" s="668"/>
      <c r="N41" s="668"/>
      <c r="O41" s="668"/>
      <c r="P41" s="668"/>
      <c r="Q41" s="668"/>
      <c r="R41" s="668"/>
      <c r="S41" s="668"/>
      <c r="T41" s="668"/>
      <c r="U41" s="668"/>
      <c r="V41" s="668"/>
      <c r="W41" s="669"/>
    </row>
    <row r="42" spans="1:23" ht="20.100000000000001" customHeight="1" x14ac:dyDescent="0.2">
      <c r="D42" s="42"/>
      <c r="E42" s="667"/>
      <c r="F42" s="668"/>
      <c r="G42" s="668"/>
      <c r="H42" s="668"/>
      <c r="I42" s="668"/>
      <c r="J42" s="668"/>
      <c r="K42" s="668"/>
      <c r="L42" s="668"/>
      <c r="M42" s="668"/>
      <c r="N42" s="668"/>
      <c r="O42" s="668"/>
      <c r="P42" s="668"/>
      <c r="Q42" s="668"/>
      <c r="R42" s="668"/>
      <c r="S42" s="668"/>
      <c r="T42" s="668"/>
      <c r="U42" s="668"/>
      <c r="V42" s="668"/>
      <c r="W42" s="669"/>
    </row>
    <row r="43" spans="1:23" ht="20.100000000000001" customHeight="1" x14ac:dyDescent="0.2">
      <c r="D43" s="42"/>
      <c r="E43" s="667"/>
      <c r="F43" s="668"/>
      <c r="G43" s="668"/>
      <c r="H43" s="668"/>
      <c r="I43" s="668"/>
      <c r="J43" s="668"/>
      <c r="K43" s="668"/>
      <c r="L43" s="668"/>
      <c r="M43" s="668"/>
      <c r="N43" s="668"/>
      <c r="O43" s="668"/>
      <c r="P43" s="668"/>
      <c r="Q43" s="668"/>
      <c r="R43" s="668"/>
      <c r="S43" s="668"/>
      <c r="T43" s="668"/>
      <c r="U43" s="668"/>
      <c r="V43" s="668"/>
      <c r="W43" s="669"/>
    </row>
    <row r="44" spans="1:23" ht="20.100000000000001" customHeight="1" x14ac:dyDescent="0.2">
      <c r="D44" s="42"/>
      <c r="E44" s="667"/>
      <c r="F44" s="668"/>
      <c r="G44" s="668"/>
      <c r="H44" s="668"/>
      <c r="I44" s="668"/>
      <c r="J44" s="668"/>
      <c r="K44" s="668"/>
      <c r="L44" s="668"/>
      <c r="M44" s="668"/>
      <c r="N44" s="668"/>
      <c r="O44" s="668"/>
      <c r="P44" s="668"/>
      <c r="Q44" s="668"/>
      <c r="R44" s="668"/>
      <c r="S44" s="668"/>
      <c r="T44" s="668"/>
      <c r="U44" s="668"/>
      <c r="V44" s="668"/>
      <c r="W44" s="669"/>
    </row>
    <row r="45" spans="1:23" ht="13.5" customHeight="1" thickBot="1" x14ac:dyDescent="0.25">
      <c r="D45" s="42"/>
      <c r="E45" s="673" t="s">
        <v>202</v>
      </c>
      <c r="F45" s="673"/>
      <c r="G45" s="673"/>
      <c r="H45" s="673"/>
      <c r="I45" s="54"/>
      <c r="J45" s="180"/>
      <c r="K45" s="674"/>
      <c r="L45" s="674"/>
      <c r="M45" s="674"/>
      <c r="N45" s="674"/>
      <c r="O45" s="674"/>
      <c r="P45" s="674"/>
      <c r="Q45" s="674"/>
      <c r="R45" s="674"/>
      <c r="S45" s="674"/>
      <c r="T45" s="674"/>
      <c r="U45" s="674"/>
      <c r="V45" s="674"/>
      <c r="W45" s="674"/>
    </row>
    <row r="46" spans="1:23" ht="15" customHeight="1" x14ac:dyDescent="0.2">
      <c r="D46" s="42"/>
      <c r="E46" s="679"/>
      <c r="F46" s="680"/>
      <c r="G46" s="680"/>
      <c r="H46" s="681"/>
      <c r="I46" s="54"/>
      <c r="J46" s="180"/>
      <c r="K46" s="663"/>
      <c r="L46" s="663"/>
      <c r="M46" s="663"/>
      <c r="N46" s="663"/>
      <c r="O46" s="663"/>
      <c r="P46" s="663"/>
      <c r="Q46" s="663"/>
      <c r="R46" s="663"/>
      <c r="S46" s="663"/>
      <c r="T46" s="663"/>
      <c r="U46" s="663"/>
      <c r="V46" s="663"/>
      <c r="W46" s="663"/>
    </row>
    <row r="47" spans="1:23" ht="15" customHeight="1" thickBot="1" x14ac:dyDescent="0.25">
      <c r="D47" s="42"/>
      <c r="E47" s="682"/>
      <c r="F47" s="683"/>
      <c r="G47" s="683"/>
      <c r="H47" s="684"/>
      <c r="I47" s="54"/>
      <c r="J47" s="180"/>
      <c r="K47" s="663"/>
      <c r="L47" s="663"/>
      <c r="M47" s="663"/>
      <c r="N47" s="663"/>
      <c r="O47" s="663"/>
      <c r="P47" s="663"/>
      <c r="Q47" s="663"/>
      <c r="R47" s="663"/>
      <c r="S47" s="663"/>
      <c r="T47" s="663"/>
      <c r="U47" s="663"/>
      <c r="V47" s="663"/>
      <c r="W47" s="663"/>
    </row>
    <row r="48" spans="1:23" ht="15" customHeight="1" x14ac:dyDescent="0.2">
      <c r="D48" s="42"/>
      <c r="I48" s="54"/>
      <c r="J48" s="180"/>
      <c r="K48" s="663"/>
      <c r="L48" s="663"/>
      <c r="M48" s="663"/>
      <c r="N48" s="663"/>
      <c r="O48" s="663"/>
      <c r="P48" s="663"/>
      <c r="Q48" s="663"/>
      <c r="R48" s="663"/>
      <c r="S48" s="192"/>
      <c r="T48" s="192"/>
      <c r="U48" s="192"/>
      <c r="V48" s="192"/>
      <c r="W48" s="192"/>
    </row>
    <row r="49" spans="4:23" ht="15" customHeight="1" x14ac:dyDescent="0.2">
      <c r="D49" s="42"/>
      <c r="E49" s="664" t="s">
        <v>298</v>
      </c>
      <c r="F49" s="664"/>
      <c r="G49" s="665"/>
      <c r="H49" s="665"/>
      <c r="I49" s="54"/>
      <c r="J49" s="180"/>
      <c r="K49" s="663"/>
      <c r="L49" s="663"/>
      <c r="M49" s="663"/>
      <c r="N49" s="663"/>
      <c r="O49" s="663"/>
      <c r="P49" s="663"/>
      <c r="Q49" s="663"/>
      <c r="R49" s="663"/>
      <c r="S49" s="181"/>
      <c r="T49" s="182"/>
      <c r="U49" s="183"/>
      <c r="V49" s="182"/>
      <c r="W49" s="182"/>
    </row>
    <row r="50" spans="4:23" ht="15" customHeight="1" x14ac:dyDescent="0.25">
      <c r="D50" s="42"/>
      <c r="E50" s="666"/>
      <c r="F50" s="666"/>
      <c r="G50" s="666"/>
      <c r="H50" s="666"/>
      <c r="I50" s="54"/>
      <c r="J50" s="180"/>
      <c r="K50" s="663"/>
      <c r="L50" s="663"/>
      <c r="M50" s="663"/>
      <c r="N50" s="663"/>
      <c r="O50" s="663"/>
      <c r="P50" s="663"/>
      <c r="Q50" s="182"/>
      <c r="R50" s="182"/>
      <c r="S50" s="182"/>
      <c r="T50" s="182"/>
      <c r="U50" s="182"/>
      <c r="V50" s="182"/>
      <c r="W50" s="182"/>
    </row>
    <row r="51" spans="4:23" ht="15" customHeight="1" x14ac:dyDescent="0.25">
      <c r="D51" s="42"/>
      <c r="E51" s="666"/>
      <c r="F51" s="666"/>
      <c r="G51" s="666"/>
      <c r="H51" s="666"/>
      <c r="I51" s="54"/>
      <c r="J51" s="180"/>
      <c r="K51" s="663"/>
      <c r="L51" s="663"/>
      <c r="M51" s="663"/>
      <c r="N51" s="663"/>
      <c r="O51" s="663"/>
      <c r="P51" s="663"/>
      <c r="Q51" s="182"/>
      <c r="R51" s="182"/>
      <c r="S51" s="663"/>
      <c r="T51" s="663"/>
      <c r="U51" s="663"/>
      <c r="V51" s="663"/>
      <c r="W51" s="663"/>
    </row>
  </sheetData>
  <sheetProtection selectLockedCells="1"/>
  <mergeCells count="229">
    <mergeCell ref="E6:J6"/>
    <mergeCell ref="K6:Q6"/>
    <mergeCell ref="R6:V6"/>
    <mergeCell ref="W6:W7"/>
    <mergeCell ref="E7:J7"/>
    <mergeCell ref="K7:Q7"/>
    <mergeCell ref="R7:V7"/>
    <mergeCell ref="D8:D11"/>
    <mergeCell ref="E8:J8"/>
    <mergeCell ref="K8:Q8"/>
    <mergeCell ref="R8:V8"/>
    <mergeCell ref="E9:J9"/>
    <mergeCell ref="K9:Q9"/>
    <mergeCell ref="R9:V9"/>
    <mergeCell ref="E10:H10"/>
    <mergeCell ref="I10:L10"/>
    <mergeCell ref="M10:Q10"/>
    <mergeCell ref="E11:H11"/>
    <mergeCell ref="I11:L11"/>
    <mergeCell ref="M11:Q11"/>
    <mergeCell ref="E13:N13"/>
    <mergeCell ref="O13:P13"/>
    <mergeCell ref="R13:W13"/>
    <mergeCell ref="E14:N14"/>
    <mergeCell ref="O14:W14"/>
    <mergeCell ref="E15:N15"/>
    <mergeCell ref="O15:W15"/>
    <mergeCell ref="E17:F17"/>
    <mergeCell ref="G17:H17"/>
    <mergeCell ref="I17:J17"/>
    <mergeCell ref="K17:L17"/>
    <mergeCell ref="M17:N17"/>
    <mergeCell ref="P17:Q17"/>
    <mergeCell ref="R17:S17"/>
    <mergeCell ref="T17:U17"/>
    <mergeCell ref="W17:W18"/>
    <mergeCell ref="E18:F18"/>
    <mergeCell ref="G18:H18"/>
    <mergeCell ref="I18:J18"/>
    <mergeCell ref="K18:L18"/>
    <mergeCell ref="M18:N18"/>
    <mergeCell ref="P18:Q18"/>
    <mergeCell ref="R18:S18"/>
    <mergeCell ref="T18:U18"/>
    <mergeCell ref="E19:F19"/>
    <mergeCell ref="G19:H19"/>
    <mergeCell ref="I19:J19"/>
    <mergeCell ref="K19:L19"/>
    <mergeCell ref="M19:N19"/>
    <mergeCell ref="P19:Q19"/>
    <mergeCell ref="R19:S19"/>
    <mergeCell ref="T19:U19"/>
    <mergeCell ref="E20:F20"/>
    <mergeCell ref="G20:H20"/>
    <mergeCell ref="I20:J20"/>
    <mergeCell ref="K20:L20"/>
    <mergeCell ref="M20:N20"/>
    <mergeCell ref="P20:Q20"/>
    <mergeCell ref="R20:S20"/>
    <mergeCell ref="T20:U20"/>
    <mergeCell ref="E21:F21"/>
    <mergeCell ref="G21:H21"/>
    <mergeCell ref="I21:J21"/>
    <mergeCell ref="K21:L21"/>
    <mergeCell ref="M21:N21"/>
    <mergeCell ref="P21:Q21"/>
    <mergeCell ref="R21:S21"/>
    <mergeCell ref="T21:U21"/>
    <mergeCell ref="E22:F22"/>
    <mergeCell ref="G22:H22"/>
    <mergeCell ref="I22:J22"/>
    <mergeCell ref="K22:L22"/>
    <mergeCell ref="M22:N22"/>
    <mergeCell ref="P22:Q22"/>
    <mergeCell ref="R22:S22"/>
    <mergeCell ref="T22:U22"/>
    <mergeCell ref="E23:F23"/>
    <mergeCell ref="G23:H23"/>
    <mergeCell ref="I23:J23"/>
    <mergeCell ref="K23:L23"/>
    <mergeCell ref="M23:N23"/>
    <mergeCell ref="P23:Q23"/>
    <mergeCell ref="R23:S23"/>
    <mergeCell ref="T23:U23"/>
    <mergeCell ref="E24:F24"/>
    <mergeCell ref="G24:H24"/>
    <mergeCell ref="I24:J24"/>
    <mergeCell ref="K24:L24"/>
    <mergeCell ref="M24:N24"/>
    <mergeCell ref="P24:Q24"/>
    <mergeCell ref="R24:S24"/>
    <mergeCell ref="T24:U24"/>
    <mergeCell ref="E25:F25"/>
    <mergeCell ref="G25:H25"/>
    <mergeCell ref="I25:J25"/>
    <mergeCell ref="K25:L25"/>
    <mergeCell ref="M25:N25"/>
    <mergeCell ref="P25:Q25"/>
    <mergeCell ref="R25:S25"/>
    <mergeCell ref="T25:U25"/>
    <mergeCell ref="E26:F26"/>
    <mergeCell ref="G26:H26"/>
    <mergeCell ref="I26:J26"/>
    <mergeCell ref="K26:L26"/>
    <mergeCell ref="M26:N26"/>
    <mergeCell ref="P26:Q26"/>
    <mergeCell ref="R26:S26"/>
    <mergeCell ref="T26:U26"/>
    <mergeCell ref="E27:F27"/>
    <mergeCell ref="G27:H27"/>
    <mergeCell ref="I27:J27"/>
    <mergeCell ref="K27:L27"/>
    <mergeCell ref="M27:N27"/>
    <mergeCell ref="P27:Q27"/>
    <mergeCell ref="R27:S27"/>
    <mergeCell ref="T27:U27"/>
    <mergeCell ref="E28:F28"/>
    <mergeCell ref="G28:H28"/>
    <mergeCell ref="I28:J28"/>
    <mergeCell ref="K28:L28"/>
    <mergeCell ref="M28:N28"/>
    <mergeCell ref="P28:Q28"/>
    <mergeCell ref="R28:S28"/>
    <mergeCell ref="T28:U28"/>
    <mergeCell ref="E29:F29"/>
    <mergeCell ref="G29:H29"/>
    <mergeCell ref="I29:J29"/>
    <mergeCell ref="K29:L29"/>
    <mergeCell ref="M29:N29"/>
    <mergeCell ref="P29:Q29"/>
    <mergeCell ref="R29:S29"/>
    <mergeCell ref="T29:U29"/>
    <mergeCell ref="E30:F30"/>
    <mergeCell ref="G30:H30"/>
    <mergeCell ref="I30:J30"/>
    <mergeCell ref="K30:L30"/>
    <mergeCell ref="M30:N30"/>
    <mergeCell ref="P30:Q30"/>
    <mergeCell ref="R30:S30"/>
    <mergeCell ref="T30:U30"/>
    <mergeCell ref="E31:F31"/>
    <mergeCell ref="G31:H31"/>
    <mergeCell ref="I31:J31"/>
    <mergeCell ref="K31:L31"/>
    <mergeCell ref="M31:N31"/>
    <mergeCell ref="P31:Q31"/>
    <mergeCell ref="R31:S31"/>
    <mergeCell ref="T31:U31"/>
    <mergeCell ref="E32:F32"/>
    <mergeCell ref="G32:H32"/>
    <mergeCell ref="I32:J32"/>
    <mergeCell ref="K32:L32"/>
    <mergeCell ref="M32:N32"/>
    <mergeCell ref="P32:Q32"/>
    <mergeCell ref="R32:S32"/>
    <mergeCell ref="T32:U32"/>
    <mergeCell ref="E33:F33"/>
    <mergeCell ref="G33:H33"/>
    <mergeCell ref="I33:J33"/>
    <mergeCell ref="K33:L33"/>
    <mergeCell ref="M33:N33"/>
    <mergeCell ref="P33:Q33"/>
    <mergeCell ref="R33:S33"/>
    <mergeCell ref="T33:U33"/>
    <mergeCell ref="E34:F34"/>
    <mergeCell ref="G34:H34"/>
    <mergeCell ref="I34:J34"/>
    <mergeCell ref="K34:L34"/>
    <mergeCell ref="M34:N34"/>
    <mergeCell ref="P34:Q34"/>
    <mergeCell ref="R34:S34"/>
    <mergeCell ref="T34:U34"/>
    <mergeCell ref="E35:F35"/>
    <mergeCell ref="G35:H35"/>
    <mergeCell ref="I35:J35"/>
    <mergeCell ref="K35:L35"/>
    <mergeCell ref="M35:N35"/>
    <mergeCell ref="P35:Q35"/>
    <mergeCell ref="R35:S35"/>
    <mergeCell ref="T35:U35"/>
    <mergeCell ref="R37:S37"/>
    <mergeCell ref="T37:U37"/>
    <mergeCell ref="E36:F36"/>
    <mergeCell ref="G36:H36"/>
    <mergeCell ref="I36:J36"/>
    <mergeCell ref="K36:L36"/>
    <mergeCell ref="M36:N36"/>
    <mergeCell ref="P36:Q36"/>
    <mergeCell ref="R36:S36"/>
    <mergeCell ref="T36:U36"/>
    <mergeCell ref="E37:F37"/>
    <mergeCell ref="G37:H37"/>
    <mergeCell ref="I37:J37"/>
    <mergeCell ref="K37:L37"/>
    <mergeCell ref="M37:N37"/>
    <mergeCell ref="P37:Q37"/>
    <mergeCell ref="E51:H51"/>
    <mergeCell ref="K51:P51"/>
    <mergeCell ref="S51:W51"/>
    <mergeCell ref="E42:F42"/>
    <mergeCell ref="G42:W42"/>
    <mergeCell ref="M38:N38"/>
    <mergeCell ref="P38:Q38"/>
    <mergeCell ref="E43:F43"/>
    <mergeCell ref="G43:W43"/>
    <mergeCell ref="E44:F44"/>
    <mergeCell ref="G44:W44"/>
    <mergeCell ref="E45:H45"/>
    <mergeCell ref="K45:W45"/>
    <mergeCell ref="R38:S38"/>
    <mergeCell ref="T38:U38"/>
    <mergeCell ref="E40:F40"/>
    <mergeCell ref="G40:W40"/>
    <mergeCell ref="E41:F41"/>
    <mergeCell ref="G41:W41"/>
    <mergeCell ref="E38:F38"/>
    <mergeCell ref="G38:H38"/>
    <mergeCell ref="I38:J38"/>
    <mergeCell ref="K38:L38"/>
    <mergeCell ref="E46:H47"/>
    <mergeCell ref="K46:R46"/>
    <mergeCell ref="S46:W46"/>
    <mergeCell ref="K47:R47"/>
    <mergeCell ref="S47:W47"/>
    <mergeCell ref="K48:R48"/>
    <mergeCell ref="E49:H49"/>
    <mergeCell ref="K49:R49"/>
    <mergeCell ref="E50:H50"/>
    <mergeCell ref="K50:P50"/>
  </mergeCells>
  <printOptions horizontalCentered="1" verticalCentered="1"/>
  <pageMargins left="0.39370078740157483" right="0.31" top="0.19685039370078741" bottom="0.33" header="0.35433070866141736" footer="0.28000000000000003"/>
  <pageSetup paperSize="9" orientation="portrait" r:id="rId1"/>
  <headerFooter alignWithMargins="0">
    <oddFooter>&amp;L&amp;8FunkiS&amp;R&amp;8v 1.1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15">
    <pageSetUpPr autoPageBreaks="0"/>
  </sheetPr>
  <dimension ref="A1:N55"/>
  <sheetViews>
    <sheetView showGridLines="0" zoomScaleNormal="100" workbookViewId="0">
      <selection activeCell="E5" sqref="E5"/>
    </sheetView>
  </sheetViews>
  <sheetFormatPr defaultColWidth="8.85546875" defaultRowHeight="12.75" x14ac:dyDescent="0.2"/>
  <cols>
    <col min="1" max="1" width="9.42578125" style="236" customWidth="1"/>
    <col min="2" max="2" width="1.42578125" style="236" customWidth="1"/>
    <col min="3" max="4" width="4.42578125" style="236" customWidth="1"/>
    <col min="5" max="5" width="6.42578125" style="236" customWidth="1"/>
    <col min="6" max="6" width="7.42578125" style="236" customWidth="1"/>
    <col min="7" max="7" width="8.85546875" style="236"/>
    <col min="8" max="8" width="11.42578125" style="236" customWidth="1"/>
    <col min="9" max="9" width="13" style="236" customWidth="1"/>
    <col min="10" max="10" width="6.140625" style="236" customWidth="1"/>
    <col min="11" max="11" width="16.140625" style="236" customWidth="1"/>
    <col min="12" max="12" width="8" style="236" customWidth="1"/>
    <col min="13" max="13" width="5.85546875" style="236" customWidth="1"/>
    <col min="14" max="14" width="2.42578125" style="236" customWidth="1"/>
    <col min="15" max="16384" width="8.85546875" style="236"/>
  </cols>
  <sheetData>
    <row r="1" spans="1:14" customFormat="1" ht="9.75" customHeight="1" x14ac:dyDescent="0.2">
      <c r="A1" s="196"/>
      <c r="B1" s="196"/>
    </row>
    <row r="2" spans="1:14" customFormat="1" x14ac:dyDescent="0.2">
      <c r="A2" s="196"/>
      <c r="B2" s="196"/>
      <c r="H2" s="404" t="s">
        <v>340</v>
      </c>
      <c r="I2" s="447"/>
      <c r="J2" s="456"/>
      <c r="K2" s="404" t="s">
        <v>341</v>
      </c>
      <c r="L2" s="406"/>
      <c r="M2" s="572" t="s">
        <v>37</v>
      </c>
    </row>
    <row r="3" spans="1:14" customFormat="1" ht="24.2" customHeight="1" x14ac:dyDescent="0.35">
      <c r="A3" s="196"/>
      <c r="B3" s="196"/>
      <c r="D3" s="759" t="s">
        <v>36</v>
      </c>
      <c r="E3" s="759"/>
      <c r="F3" s="759"/>
      <c r="G3" s="759"/>
      <c r="H3" s="724">
        <f>A_Blankett!$I$5</f>
        <v>0</v>
      </c>
      <c r="I3" s="606"/>
      <c r="J3" s="760"/>
      <c r="K3" s="602"/>
      <c r="L3" s="603"/>
      <c r="M3" s="573"/>
    </row>
    <row r="4" spans="1:14" customFormat="1" x14ac:dyDescent="0.2">
      <c r="A4" s="196"/>
      <c r="B4" s="196"/>
    </row>
    <row r="5" spans="1:14" customFormat="1" x14ac:dyDescent="0.2">
      <c r="A5" s="196"/>
      <c r="B5" s="196"/>
      <c r="C5" s="757" t="s">
        <v>37</v>
      </c>
      <c r="D5" s="9" t="s">
        <v>195</v>
      </c>
      <c r="E5" s="10"/>
      <c r="F5" s="10"/>
      <c r="G5" s="10"/>
      <c r="H5" s="14"/>
      <c r="I5" s="9" t="s">
        <v>257</v>
      </c>
      <c r="J5" s="14"/>
      <c r="K5" s="6" t="s">
        <v>531</v>
      </c>
      <c r="L5" s="404" t="s">
        <v>528</v>
      </c>
      <c r="M5" s="755"/>
    </row>
    <row r="6" spans="1:14" customFormat="1" x14ac:dyDescent="0.2">
      <c r="A6" s="196"/>
      <c r="B6" s="196"/>
      <c r="C6" s="757"/>
      <c r="D6" s="471">
        <f>A_Blankett!$D$11</f>
        <v>0</v>
      </c>
      <c r="E6" s="453"/>
      <c r="F6" s="453"/>
      <c r="G6" s="453"/>
      <c r="H6" s="756"/>
      <c r="I6" s="471">
        <f>A_Blankett!$F$19</f>
        <v>0</v>
      </c>
      <c r="J6" s="756"/>
      <c r="K6" s="29"/>
      <c r="L6" s="753"/>
      <c r="M6" s="754"/>
    </row>
    <row r="7" spans="1:14" customFormat="1" ht="14.1" customHeight="1" x14ac:dyDescent="0.2">
      <c r="A7" s="196"/>
      <c r="B7" s="196"/>
      <c r="D7" s="56"/>
      <c r="E7" s="56"/>
      <c r="F7" s="56"/>
      <c r="G7" s="56"/>
      <c r="H7" s="56"/>
      <c r="I7" s="56"/>
      <c r="J7" s="56"/>
      <c r="K7" s="56"/>
      <c r="L7" s="56"/>
      <c r="M7" s="56"/>
    </row>
    <row r="8" spans="1:14" customFormat="1" x14ac:dyDescent="0.2">
      <c r="A8" s="196"/>
      <c r="B8" s="196"/>
      <c r="C8" s="5" t="s">
        <v>38</v>
      </c>
      <c r="D8" s="750" t="s">
        <v>31</v>
      </c>
      <c r="E8" s="751"/>
      <c r="F8" s="752" t="s">
        <v>32</v>
      </c>
      <c r="G8" s="752"/>
      <c r="H8" s="752"/>
      <c r="I8" s="752"/>
      <c r="J8" s="752"/>
      <c r="K8" s="752"/>
      <c r="L8" s="752"/>
      <c r="M8" s="134" t="s">
        <v>33</v>
      </c>
    </row>
    <row r="9" spans="1:14" customFormat="1" ht="13.7" customHeight="1" x14ac:dyDescent="0.2">
      <c r="A9" s="196"/>
      <c r="B9" s="196"/>
      <c r="C9" s="744">
        <v>1</v>
      </c>
      <c r="D9" s="745"/>
      <c r="E9" s="746"/>
      <c r="F9" s="747"/>
      <c r="G9" s="748"/>
      <c r="H9" s="748"/>
      <c r="I9" s="748"/>
      <c r="J9" s="748"/>
      <c r="K9" s="748"/>
      <c r="L9" s="749"/>
      <c r="M9" s="593"/>
    </row>
    <row r="10" spans="1:14" customFormat="1" ht="13.7" customHeight="1" x14ac:dyDescent="0.2">
      <c r="A10" s="196"/>
      <c r="B10" s="196"/>
      <c r="C10" s="744"/>
      <c r="D10" s="745"/>
      <c r="E10" s="746"/>
      <c r="F10" s="747"/>
      <c r="G10" s="748"/>
      <c r="H10" s="748"/>
      <c r="I10" s="748"/>
      <c r="J10" s="748"/>
      <c r="K10" s="748"/>
      <c r="L10" s="749"/>
      <c r="M10" s="593"/>
    </row>
    <row r="11" spans="1:14" customFormat="1" ht="13.7" customHeight="1" x14ac:dyDescent="0.2">
      <c r="A11" s="196"/>
      <c r="B11" s="196"/>
      <c r="C11" s="744">
        <v>2</v>
      </c>
      <c r="D11" s="745"/>
      <c r="E11" s="746"/>
      <c r="F11" s="747"/>
      <c r="G11" s="748"/>
      <c r="H11" s="748"/>
      <c r="I11" s="748"/>
      <c r="J11" s="748"/>
      <c r="K11" s="748"/>
      <c r="L11" s="749"/>
      <c r="M11" s="593"/>
    </row>
    <row r="12" spans="1:14" customFormat="1" ht="13.7" customHeight="1" x14ac:dyDescent="0.2">
      <c r="A12" s="196"/>
      <c r="B12" s="196"/>
      <c r="C12" s="744"/>
      <c r="D12" s="745"/>
      <c r="E12" s="746"/>
      <c r="F12" s="747"/>
      <c r="G12" s="748"/>
      <c r="H12" s="748"/>
      <c r="I12" s="748"/>
      <c r="J12" s="748"/>
      <c r="K12" s="748"/>
      <c r="L12" s="749"/>
      <c r="M12" s="593"/>
    </row>
    <row r="13" spans="1:14" customFormat="1" ht="13.7" customHeight="1" x14ac:dyDescent="0.2">
      <c r="A13" s="196"/>
      <c r="B13" s="196"/>
      <c r="C13" s="744">
        <v>3</v>
      </c>
      <c r="D13" s="745"/>
      <c r="E13" s="746"/>
      <c r="F13" s="747"/>
      <c r="G13" s="748"/>
      <c r="H13" s="748"/>
      <c r="I13" s="748"/>
      <c r="J13" s="748"/>
      <c r="K13" s="748"/>
      <c r="L13" s="749"/>
      <c r="M13" s="593"/>
    </row>
    <row r="14" spans="1:14" customFormat="1" ht="13.7" customHeight="1" x14ac:dyDescent="0.2">
      <c r="A14" s="196"/>
      <c r="B14" s="196"/>
      <c r="C14" s="744"/>
      <c r="D14" s="745"/>
      <c r="E14" s="746"/>
      <c r="F14" s="747"/>
      <c r="G14" s="748"/>
      <c r="H14" s="748"/>
      <c r="I14" s="748"/>
      <c r="J14" s="748"/>
      <c r="K14" s="748"/>
      <c r="L14" s="749"/>
      <c r="M14" s="593"/>
      <c r="N14" s="44"/>
    </row>
    <row r="15" spans="1:14" customFormat="1" ht="13.7" customHeight="1" x14ac:dyDescent="0.2">
      <c r="A15" s="196"/>
      <c r="B15" s="196"/>
      <c r="C15" s="744">
        <v>4</v>
      </c>
      <c r="D15" s="745"/>
      <c r="E15" s="746"/>
      <c r="F15" s="747"/>
      <c r="G15" s="748"/>
      <c r="H15" s="748"/>
      <c r="I15" s="748"/>
      <c r="J15" s="748"/>
      <c r="K15" s="748"/>
      <c r="L15" s="749"/>
      <c r="M15" s="593"/>
    </row>
    <row r="16" spans="1:14" customFormat="1" ht="13.7" customHeight="1" x14ac:dyDescent="0.2">
      <c r="A16" s="196"/>
      <c r="B16" s="196"/>
      <c r="C16" s="744"/>
      <c r="D16" s="745"/>
      <c r="E16" s="746"/>
      <c r="F16" s="747"/>
      <c r="G16" s="748"/>
      <c r="H16" s="748"/>
      <c r="I16" s="748"/>
      <c r="J16" s="748"/>
      <c r="K16" s="748"/>
      <c r="L16" s="749"/>
      <c r="M16" s="593"/>
    </row>
    <row r="17" spans="1:13" customFormat="1" ht="13.7" customHeight="1" x14ac:dyDescent="0.2">
      <c r="A17" s="196"/>
      <c r="B17" s="196"/>
      <c r="C17" s="744">
        <v>5</v>
      </c>
      <c r="D17" s="745"/>
      <c r="E17" s="746"/>
      <c r="F17" s="747"/>
      <c r="G17" s="748"/>
      <c r="H17" s="748"/>
      <c r="I17" s="748"/>
      <c r="J17" s="748"/>
      <c r="K17" s="748"/>
      <c r="L17" s="749"/>
      <c r="M17" s="593"/>
    </row>
    <row r="18" spans="1:13" customFormat="1" ht="13.7" customHeight="1" x14ac:dyDescent="0.2">
      <c r="A18" s="196"/>
      <c r="B18" s="196"/>
      <c r="C18" s="744"/>
      <c r="D18" s="745"/>
      <c r="E18" s="746"/>
      <c r="F18" s="747"/>
      <c r="G18" s="748"/>
      <c r="H18" s="748"/>
      <c r="I18" s="748"/>
      <c r="J18" s="748"/>
      <c r="K18" s="748"/>
      <c r="L18" s="749"/>
      <c r="M18" s="593"/>
    </row>
    <row r="19" spans="1:13" customFormat="1" ht="13.7" customHeight="1" x14ac:dyDescent="0.2">
      <c r="A19" s="196"/>
      <c r="B19" s="196"/>
      <c r="C19" s="744">
        <v>6</v>
      </c>
      <c r="D19" s="745"/>
      <c r="E19" s="746"/>
      <c r="F19" s="747"/>
      <c r="G19" s="748"/>
      <c r="H19" s="748"/>
      <c r="I19" s="748"/>
      <c r="J19" s="748"/>
      <c r="K19" s="748"/>
      <c r="L19" s="749"/>
      <c r="M19" s="593"/>
    </row>
    <row r="20" spans="1:13" customFormat="1" ht="13.7" customHeight="1" x14ac:dyDescent="0.2">
      <c r="A20" s="196"/>
      <c r="B20" s="196"/>
      <c r="C20" s="744"/>
      <c r="D20" s="745"/>
      <c r="E20" s="746"/>
      <c r="F20" s="747"/>
      <c r="G20" s="748"/>
      <c r="H20" s="748"/>
      <c r="I20" s="748"/>
      <c r="J20" s="748"/>
      <c r="K20" s="748"/>
      <c r="L20" s="749"/>
      <c r="M20" s="593"/>
    </row>
    <row r="21" spans="1:13" customFormat="1" ht="13.7" customHeight="1" x14ac:dyDescent="0.2">
      <c r="A21" s="196"/>
      <c r="B21" s="196"/>
      <c r="C21" s="744">
        <v>7</v>
      </c>
      <c r="D21" s="745"/>
      <c r="E21" s="746"/>
      <c r="F21" s="747"/>
      <c r="G21" s="748"/>
      <c r="H21" s="748"/>
      <c r="I21" s="748"/>
      <c r="J21" s="748"/>
      <c r="K21" s="748"/>
      <c r="L21" s="749"/>
      <c r="M21" s="593"/>
    </row>
    <row r="22" spans="1:13" customFormat="1" ht="13.7" customHeight="1" x14ac:dyDescent="0.2">
      <c r="A22" s="196"/>
      <c r="B22" s="196"/>
      <c r="C22" s="744"/>
      <c r="D22" s="745"/>
      <c r="E22" s="746"/>
      <c r="F22" s="747"/>
      <c r="G22" s="748"/>
      <c r="H22" s="748"/>
      <c r="I22" s="748"/>
      <c r="J22" s="748"/>
      <c r="K22" s="748"/>
      <c r="L22" s="749"/>
      <c r="M22" s="593"/>
    </row>
    <row r="23" spans="1:13" customFormat="1" ht="13.7" customHeight="1" x14ac:dyDescent="0.2">
      <c r="A23" s="196"/>
      <c r="B23" s="196"/>
      <c r="C23" s="744">
        <v>8</v>
      </c>
      <c r="D23" s="745"/>
      <c r="E23" s="746"/>
      <c r="F23" s="747"/>
      <c r="G23" s="748"/>
      <c r="H23" s="748"/>
      <c r="I23" s="748"/>
      <c r="J23" s="748"/>
      <c r="K23" s="748"/>
      <c r="L23" s="749"/>
      <c r="M23" s="593"/>
    </row>
    <row r="24" spans="1:13" customFormat="1" ht="13.7" customHeight="1" x14ac:dyDescent="0.2">
      <c r="A24" s="196"/>
      <c r="B24" s="196"/>
      <c r="C24" s="744"/>
      <c r="D24" s="745"/>
      <c r="E24" s="746"/>
      <c r="F24" s="747"/>
      <c r="G24" s="748"/>
      <c r="H24" s="748"/>
      <c r="I24" s="748"/>
      <c r="J24" s="748"/>
      <c r="K24" s="748"/>
      <c r="L24" s="749"/>
      <c r="M24" s="593"/>
    </row>
    <row r="25" spans="1:13" customFormat="1" ht="13.7" customHeight="1" x14ac:dyDescent="0.2">
      <c r="A25" s="196"/>
      <c r="B25" s="196"/>
      <c r="C25" s="744">
        <v>9</v>
      </c>
      <c r="D25" s="745"/>
      <c r="E25" s="746"/>
      <c r="F25" s="747"/>
      <c r="G25" s="748"/>
      <c r="H25" s="748"/>
      <c r="I25" s="748"/>
      <c r="J25" s="748"/>
      <c r="K25" s="748"/>
      <c r="L25" s="749"/>
      <c r="M25" s="593"/>
    </row>
    <row r="26" spans="1:13" customFormat="1" ht="13.7" customHeight="1" x14ac:dyDescent="0.2">
      <c r="A26" s="196"/>
      <c r="B26" s="196"/>
      <c r="C26" s="744"/>
      <c r="D26" s="745"/>
      <c r="E26" s="746"/>
      <c r="F26" s="747"/>
      <c r="G26" s="748"/>
      <c r="H26" s="748"/>
      <c r="I26" s="748"/>
      <c r="J26" s="748"/>
      <c r="K26" s="748"/>
      <c r="L26" s="749"/>
      <c r="M26" s="593"/>
    </row>
    <row r="27" spans="1:13" customFormat="1" ht="13.7" customHeight="1" x14ac:dyDescent="0.2">
      <c r="A27" s="196"/>
      <c r="B27" s="196"/>
      <c r="C27" s="744">
        <v>10</v>
      </c>
      <c r="D27" s="745"/>
      <c r="E27" s="746"/>
      <c r="F27" s="747"/>
      <c r="G27" s="748"/>
      <c r="H27" s="748"/>
      <c r="I27" s="748"/>
      <c r="J27" s="748"/>
      <c r="K27" s="748"/>
      <c r="L27" s="749"/>
      <c r="M27" s="593"/>
    </row>
    <row r="28" spans="1:13" customFormat="1" ht="13.7" customHeight="1" x14ac:dyDescent="0.2">
      <c r="A28" s="196"/>
      <c r="B28" s="196"/>
      <c r="C28" s="744"/>
      <c r="D28" s="745"/>
      <c r="E28" s="746"/>
      <c r="F28" s="747"/>
      <c r="G28" s="748"/>
      <c r="H28" s="748"/>
      <c r="I28" s="748"/>
      <c r="J28" s="748"/>
      <c r="K28" s="748"/>
      <c r="L28" s="749"/>
      <c r="M28" s="593"/>
    </row>
    <row r="29" spans="1:13" customFormat="1" ht="13.7" customHeight="1" x14ac:dyDescent="0.2">
      <c r="A29" s="196"/>
      <c r="B29" s="196"/>
      <c r="C29" s="744">
        <v>11</v>
      </c>
      <c r="D29" s="745"/>
      <c r="E29" s="746"/>
      <c r="F29" s="747"/>
      <c r="G29" s="748"/>
      <c r="H29" s="748"/>
      <c r="I29" s="748"/>
      <c r="J29" s="748"/>
      <c r="K29" s="748"/>
      <c r="L29" s="749"/>
      <c r="M29" s="593"/>
    </row>
    <row r="30" spans="1:13" customFormat="1" ht="13.7" customHeight="1" x14ac:dyDescent="0.2">
      <c r="A30" s="196"/>
      <c r="B30" s="196"/>
      <c r="C30" s="744"/>
      <c r="D30" s="745"/>
      <c r="E30" s="746"/>
      <c r="F30" s="747"/>
      <c r="G30" s="748"/>
      <c r="H30" s="748"/>
      <c r="I30" s="748"/>
      <c r="J30" s="748"/>
      <c r="K30" s="748"/>
      <c r="L30" s="749"/>
      <c r="M30" s="593"/>
    </row>
    <row r="31" spans="1:13" customFormat="1" ht="13.7" customHeight="1" x14ac:dyDescent="0.2">
      <c r="A31" s="196"/>
      <c r="B31" s="196"/>
      <c r="C31" s="744">
        <v>12</v>
      </c>
      <c r="D31" s="745"/>
      <c r="E31" s="746"/>
      <c r="F31" s="747"/>
      <c r="G31" s="748"/>
      <c r="H31" s="748"/>
      <c r="I31" s="748"/>
      <c r="J31" s="748"/>
      <c r="K31" s="748"/>
      <c r="L31" s="749"/>
      <c r="M31" s="593"/>
    </row>
    <row r="32" spans="1:13" customFormat="1" ht="13.7" customHeight="1" x14ac:dyDescent="0.2">
      <c r="A32" s="196"/>
      <c r="B32" s="196"/>
      <c r="C32" s="744"/>
      <c r="D32" s="745"/>
      <c r="E32" s="746"/>
      <c r="F32" s="747"/>
      <c r="G32" s="748"/>
      <c r="H32" s="748"/>
      <c r="I32" s="748"/>
      <c r="J32" s="748"/>
      <c r="K32" s="748"/>
      <c r="L32" s="749"/>
      <c r="M32" s="593"/>
    </row>
    <row r="33" spans="1:13" customFormat="1" ht="13.7" customHeight="1" x14ac:dyDescent="0.2">
      <c r="A33" s="196"/>
      <c r="B33" s="196"/>
      <c r="C33" s="744">
        <v>13</v>
      </c>
      <c r="D33" s="745"/>
      <c r="E33" s="746"/>
      <c r="F33" s="747"/>
      <c r="G33" s="748"/>
      <c r="H33" s="748"/>
      <c r="I33" s="748"/>
      <c r="J33" s="748"/>
      <c r="K33" s="748"/>
      <c r="L33" s="749"/>
      <c r="M33" s="593"/>
    </row>
    <row r="34" spans="1:13" customFormat="1" ht="13.7" customHeight="1" x14ac:dyDescent="0.2">
      <c r="A34" s="196"/>
      <c r="B34" s="196"/>
      <c r="C34" s="744"/>
      <c r="D34" s="745"/>
      <c r="E34" s="746"/>
      <c r="F34" s="747"/>
      <c r="G34" s="748"/>
      <c r="H34" s="748"/>
      <c r="I34" s="748"/>
      <c r="J34" s="748"/>
      <c r="K34" s="748"/>
      <c r="L34" s="749"/>
      <c r="M34" s="593"/>
    </row>
    <row r="35" spans="1:13" customFormat="1" ht="13.7" customHeight="1" x14ac:dyDescent="0.2">
      <c r="A35" s="196"/>
      <c r="B35" s="196"/>
      <c r="C35" s="744">
        <v>14</v>
      </c>
      <c r="D35" s="745"/>
      <c r="E35" s="746"/>
      <c r="F35" s="747"/>
      <c r="G35" s="748"/>
      <c r="H35" s="748"/>
      <c r="I35" s="748"/>
      <c r="J35" s="748"/>
      <c r="K35" s="748"/>
      <c r="L35" s="749"/>
      <c r="M35" s="593"/>
    </row>
    <row r="36" spans="1:13" customFormat="1" ht="13.7" customHeight="1" x14ac:dyDescent="0.2">
      <c r="A36" s="196"/>
      <c r="B36" s="196"/>
      <c r="C36" s="744"/>
      <c r="D36" s="745"/>
      <c r="E36" s="746"/>
      <c r="F36" s="747"/>
      <c r="G36" s="748"/>
      <c r="H36" s="748"/>
      <c r="I36" s="748"/>
      <c r="J36" s="748"/>
      <c r="K36" s="748"/>
      <c r="L36" s="749"/>
      <c r="M36" s="593"/>
    </row>
    <row r="37" spans="1:13" customFormat="1" ht="13.7" customHeight="1" x14ac:dyDescent="0.2">
      <c r="A37" s="196"/>
      <c r="B37" s="196"/>
      <c r="C37" s="744">
        <v>15</v>
      </c>
      <c r="D37" s="745"/>
      <c r="E37" s="746"/>
      <c r="F37" s="747"/>
      <c r="G37" s="748"/>
      <c r="H37" s="748"/>
      <c r="I37" s="748"/>
      <c r="J37" s="748"/>
      <c r="K37" s="748"/>
      <c r="L37" s="749"/>
      <c r="M37" s="593"/>
    </row>
    <row r="38" spans="1:13" customFormat="1" ht="13.7" customHeight="1" x14ac:dyDescent="0.2">
      <c r="A38" s="196"/>
      <c r="B38" s="196"/>
      <c r="C38" s="744"/>
      <c r="D38" s="745"/>
      <c r="E38" s="746"/>
      <c r="F38" s="747"/>
      <c r="G38" s="748"/>
      <c r="H38" s="748"/>
      <c r="I38" s="748"/>
      <c r="J38" s="748"/>
      <c r="K38" s="748"/>
      <c r="L38" s="749"/>
      <c r="M38" s="593"/>
    </row>
    <row r="39" spans="1:13" customFormat="1" ht="13.7" customHeight="1" x14ac:dyDescent="0.2">
      <c r="A39" s="196"/>
      <c r="B39" s="196"/>
      <c r="C39" s="744">
        <v>16</v>
      </c>
      <c r="D39" s="745"/>
      <c r="E39" s="746"/>
      <c r="F39" s="747"/>
      <c r="G39" s="748"/>
      <c r="H39" s="748"/>
      <c r="I39" s="748"/>
      <c r="J39" s="748"/>
      <c r="K39" s="748"/>
      <c r="L39" s="749"/>
      <c r="M39" s="593"/>
    </row>
    <row r="40" spans="1:13" customFormat="1" ht="13.7" customHeight="1" x14ac:dyDescent="0.2">
      <c r="A40" s="196"/>
      <c r="B40" s="196"/>
      <c r="C40" s="744"/>
      <c r="D40" s="745"/>
      <c r="E40" s="746"/>
      <c r="F40" s="747"/>
      <c r="G40" s="748"/>
      <c r="H40" s="748"/>
      <c r="I40" s="748"/>
      <c r="J40" s="748"/>
      <c r="K40" s="748"/>
      <c r="L40" s="749"/>
      <c r="M40" s="593"/>
    </row>
    <row r="41" spans="1:13" customFormat="1" ht="13.7" customHeight="1" x14ac:dyDescent="0.2">
      <c r="A41" s="196"/>
      <c r="B41" s="196"/>
      <c r="C41" s="744">
        <v>17</v>
      </c>
      <c r="D41" s="745"/>
      <c r="E41" s="746"/>
      <c r="F41" s="747"/>
      <c r="G41" s="748"/>
      <c r="H41" s="748"/>
      <c r="I41" s="748"/>
      <c r="J41" s="748"/>
      <c r="K41" s="748"/>
      <c r="L41" s="749"/>
      <c r="M41" s="593"/>
    </row>
    <row r="42" spans="1:13" customFormat="1" ht="13.7" customHeight="1" x14ac:dyDescent="0.2">
      <c r="A42" s="196"/>
      <c r="B42" s="196"/>
      <c r="C42" s="744"/>
      <c r="D42" s="745"/>
      <c r="E42" s="746"/>
      <c r="F42" s="747"/>
      <c r="G42" s="748"/>
      <c r="H42" s="748"/>
      <c r="I42" s="748"/>
      <c r="J42" s="748"/>
      <c r="K42" s="748"/>
      <c r="L42" s="749"/>
      <c r="M42" s="593"/>
    </row>
    <row r="43" spans="1:13" customFormat="1" ht="13.7" customHeight="1" x14ac:dyDescent="0.2">
      <c r="A43" s="196"/>
      <c r="B43" s="196"/>
      <c r="C43" s="744">
        <v>18</v>
      </c>
      <c r="D43" s="745"/>
      <c r="E43" s="746"/>
      <c r="F43" s="747"/>
      <c r="G43" s="748"/>
      <c r="H43" s="748"/>
      <c r="I43" s="748"/>
      <c r="J43" s="748"/>
      <c r="K43" s="748"/>
      <c r="L43" s="749"/>
      <c r="M43" s="593"/>
    </row>
    <row r="44" spans="1:13" customFormat="1" ht="13.7" customHeight="1" x14ac:dyDescent="0.2">
      <c r="A44" s="196"/>
      <c r="B44" s="196"/>
      <c r="C44" s="744"/>
      <c r="D44" s="745"/>
      <c r="E44" s="746"/>
      <c r="F44" s="747"/>
      <c r="G44" s="748"/>
      <c r="H44" s="748"/>
      <c r="I44" s="748"/>
      <c r="J44" s="748"/>
      <c r="K44" s="748"/>
      <c r="L44" s="749"/>
      <c r="M44" s="593"/>
    </row>
    <row r="45" spans="1:13" customFormat="1" ht="13.7" customHeight="1" x14ac:dyDescent="0.2">
      <c r="A45" s="196"/>
      <c r="B45" s="196"/>
      <c r="C45" s="744">
        <v>19</v>
      </c>
      <c r="D45" s="745"/>
      <c r="E45" s="746"/>
      <c r="F45" s="747"/>
      <c r="G45" s="748"/>
      <c r="H45" s="748"/>
      <c r="I45" s="748"/>
      <c r="J45" s="748"/>
      <c r="K45" s="748"/>
      <c r="L45" s="749"/>
      <c r="M45" s="593"/>
    </row>
    <row r="46" spans="1:13" customFormat="1" ht="13.7" customHeight="1" x14ac:dyDescent="0.2">
      <c r="A46" s="196"/>
      <c r="B46" s="196"/>
      <c r="C46" s="744"/>
      <c r="D46" s="745"/>
      <c r="E46" s="746"/>
      <c r="F46" s="747"/>
      <c r="G46" s="748"/>
      <c r="H46" s="748"/>
      <c r="I46" s="748"/>
      <c r="J46" s="748"/>
      <c r="K46" s="748"/>
      <c r="L46" s="749"/>
      <c r="M46" s="593"/>
    </row>
    <row r="47" spans="1:13" customFormat="1" ht="13.7" customHeight="1" x14ac:dyDescent="0.2">
      <c r="A47" s="196"/>
      <c r="B47" s="196"/>
      <c r="C47" s="744">
        <v>20</v>
      </c>
      <c r="D47" s="745"/>
      <c r="E47" s="746"/>
      <c r="F47" s="747"/>
      <c r="G47" s="748"/>
      <c r="H47" s="748"/>
      <c r="I47" s="748"/>
      <c r="J47" s="748"/>
      <c r="K47" s="748"/>
      <c r="L47" s="749"/>
      <c r="M47" s="593"/>
    </row>
    <row r="48" spans="1:13" customFormat="1" ht="13.7" customHeight="1" x14ac:dyDescent="0.2">
      <c r="A48" s="196"/>
      <c r="B48" s="196"/>
      <c r="C48" s="744"/>
      <c r="D48" s="745"/>
      <c r="E48" s="746"/>
      <c r="F48" s="747"/>
      <c r="G48" s="748"/>
      <c r="H48" s="748"/>
      <c r="I48" s="748"/>
      <c r="J48" s="748"/>
      <c r="K48" s="748"/>
      <c r="L48" s="749"/>
      <c r="M48" s="593"/>
    </row>
    <row r="49" spans="1:13" customFormat="1" ht="13.7" customHeight="1" x14ac:dyDescent="0.2">
      <c r="A49" s="196"/>
      <c r="B49" s="196"/>
      <c r="C49" s="744">
        <v>21</v>
      </c>
      <c r="D49" s="745"/>
      <c r="E49" s="746"/>
      <c r="F49" s="747"/>
      <c r="G49" s="748"/>
      <c r="H49" s="748"/>
      <c r="I49" s="748"/>
      <c r="J49" s="748"/>
      <c r="K49" s="748"/>
      <c r="L49" s="749"/>
      <c r="M49" s="593"/>
    </row>
    <row r="50" spans="1:13" customFormat="1" ht="13.7" customHeight="1" x14ac:dyDescent="0.2">
      <c r="A50" s="196"/>
      <c r="B50" s="196"/>
      <c r="C50" s="744"/>
      <c r="D50" s="745"/>
      <c r="E50" s="746"/>
      <c r="F50" s="747"/>
      <c r="G50" s="748"/>
      <c r="H50" s="748"/>
      <c r="I50" s="748"/>
      <c r="J50" s="748"/>
      <c r="K50" s="748"/>
      <c r="L50" s="749"/>
      <c r="M50" s="593"/>
    </row>
    <row r="51" spans="1:13" customFormat="1" ht="13.7" customHeight="1" x14ac:dyDescent="0.2">
      <c r="A51" s="196"/>
      <c r="B51" s="196"/>
      <c r="C51" s="744">
        <v>22</v>
      </c>
      <c r="D51" s="745"/>
      <c r="E51" s="746"/>
      <c r="F51" s="747"/>
      <c r="G51" s="748"/>
      <c r="H51" s="748"/>
      <c r="I51" s="748"/>
      <c r="J51" s="748"/>
      <c r="K51" s="748"/>
      <c r="L51" s="749"/>
      <c r="M51" s="593"/>
    </row>
    <row r="52" spans="1:13" customFormat="1" ht="13.7" customHeight="1" x14ac:dyDescent="0.2">
      <c r="A52" s="196"/>
      <c r="B52" s="196"/>
      <c r="C52" s="744"/>
      <c r="D52" s="745"/>
      <c r="E52" s="746"/>
      <c r="F52" s="747"/>
      <c r="G52" s="748"/>
      <c r="H52" s="748"/>
      <c r="I52" s="748"/>
      <c r="J52" s="748"/>
      <c r="K52" s="748"/>
      <c r="L52" s="749"/>
      <c r="M52" s="593"/>
    </row>
    <row r="53" spans="1:13" customFormat="1" ht="13.7" customHeight="1" x14ac:dyDescent="0.2">
      <c r="A53" s="196"/>
      <c r="B53" s="196"/>
      <c r="C53" s="744">
        <v>23</v>
      </c>
      <c r="D53" s="745"/>
      <c r="E53" s="746"/>
      <c r="F53" s="747"/>
      <c r="G53" s="748"/>
      <c r="H53" s="748"/>
      <c r="I53" s="748"/>
      <c r="J53" s="748"/>
      <c r="K53" s="748"/>
      <c r="L53" s="749"/>
      <c r="M53" s="593"/>
    </row>
    <row r="54" spans="1:13" customFormat="1" ht="13.7" customHeight="1" x14ac:dyDescent="0.2">
      <c r="A54" s="196"/>
      <c r="B54" s="196"/>
      <c r="C54" s="744"/>
      <c r="D54" s="745"/>
      <c r="E54" s="746"/>
      <c r="F54" s="747"/>
      <c r="G54" s="748"/>
      <c r="H54" s="748"/>
      <c r="I54" s="748"/>
      <c r="J54" s="748"/>
      <c r="K54" s="748"/>
      <c r="L54" s="749"/>
      <c r="M54" s="593"/>
    </row>
    <row r="55" spans="1:13" customFormat="1" x14ac:dyDescent="0.2">
      <c r="A55" s="196"/>
      <c r="B55" s="196"/>
      <c r="D55" s="758"/>
      <c r="E55" s="758"/>
      <c r="F55" s="758"/>
      <c r="G55" s="758"/>
      <c r="H55" s="57"/>
      <c r="I55" s="57"/>
      <c r="J55" s="37"/>
      <c r="K55" s="44"/>
      <c r="L55" s="44"/>
      <c r="M55" s="44"/>
    </row>
  </sheetData>
  <sheetProtection selectLockedCells="1"/>
  <mergeCells count="106">
    <mergeCell ref="C19:C20"/>
    <mergeCell ref="D3:G3"/>
    <mergeCell ref="F43:L44"/>
    <mergeCell ref="F37:L38"/>
    <mergeCell ref="H2:J2"/>
    <mergeCell ref="K2:L2"/>
    <mergeCell ref="M2:M3"/>
    <mergeCell ref="K3:L3"/>
    <mergeCell ref="M35:M36"/>
    <mergeCell ref="M31:M32"/>
    <mergeCell ref="M33:M34"/>
    <mergeCell ref="M17:M18"/>
    <mergeCell ref="F39:L40"/>
    <mergeCell ref="M39:M40"/>
    <mergeCell ref="M23:M24"/>
    <mergeCell ref="M25:M26"/>
    <mergeCell ref="M27:M28"/>
    <mergeCell ref="M9:M10"/>
    <mergeCell ref="H3:J3"/>
    <mergeCell ref="C37:C38"/>
    <mergeCell ref="D37:E38"/>
    <mergeCell ref="C33:C34"/>
    <mergeCell ref="D33:E34"/>
    <mergeCell ref="D21:E22"/>
    <mergeCell ref="F21:L22"/>
    <mergeCell ref="D23:E24"/>
    <mergeCell ref="F23:L24"/>
    <mergeCell ref="F31:L32"/>
    <mergeCell ref="C29:C30"/>
    <mergeCell ref="D29:E30"/>
    <mergeCell ref="C35:C36"/>
    <mergeCell ref="D35:E36"/>
    <mergeCell ref="F35:L36"/>
    <mergeCell ref="F33:L34"/>
    <mergeCell ref="C31:C32"/>
    <mergeCell ref="D31:E32"/>
    <mergeCell ref="D27:E28"/>
    <mergeCell ref="F27:L28"/>
    <mergeCell ref="D25:E26"/>
    <mergeCell ref="F25:L26"/>
    <mergeCell ref="C27:C28"/>
    <mergeCell ref="F29:L30"/>
    <mergeCell ref="C47:C48"/>
    <mergeCell ref="D47:E48"/>
    <mergeCell ref="F47:L48"/>
    <mergeCell ref="F45:L46"/>
    <mergeCell ref="M41:M42"/>
    <mergeCell ref="M45:M46"/>
    <mergeCell ref="C39:C40"/>
    <mergeCell ref="D39:E40"/>
    <mergeCell ref="C53:C54"/>
    <mergeCell ref="D53:E54"/>
    <mergeCell ref="C41:C42"/>
    <mergeCell ref="D41:E42"/>
    <mergeCell ref="C43:C44"/>
    <mergeCell ref="D43:E44"/>
    <mergeCell ref="C51:C52"/>
    <mergeCell ref="C49:C50"/>
    <mergeCell ref="D49:E50"/>
    <mergeCell ref="C45:C46"/>
    <mergeCell ref="M37:M38"/>
    <mergeCell ref="F41:L42"/>
    <mergeCell ref="M29:M30"/>
    <mergeCell ref="D45:E46"/>
    <mergeCell ref="F49:L50"/>
    <mergeCell ref="M49:M50"/>
    <mergeCell ref="D55:G55"/>
    <mergeCell ref="D51:E52"/>
    <mergeCell ref="F51:L52"/>
    <mergeCell ref="F53:L54"/>
    <mergeCell ref="M53:M54"/>
    <mergeCell ref="M47:M48"/>
    <mergeCell ref="C11:C12"/>
    <mergeCell ref="D11:E12"/>
    <mergeCell ref="D19:E20"/>
    <mergeCell ref="C17:C18"/>
    <mergeCell ref="D17:E18"/>
    <mergeCell ref="C25:C26"/>
    <mergeCell ref="C23:C24"/>
    <mergeCell ref="C21:C22"/>
    <mergeCell ref="M51:M52"/>
    <mergeCell ref="F13:L14"/>
    <mergeCell ref="M13:M14"/>
    <mergeCell ref="M21:M22"/>
    <mergeCell ref="F19:L20"/>
    <mergeCell ref="M19:M20"/>
    <mergeCell ref="F17:L18"/>
    <mergeCell ref="M43:M44"/>
    <mergeCell ref="C15:C16"/>
    <mergeCell ref="D15:E16"/>
    <mergeCell ref="F15:L16"/>
    <mergeCell ref="M15:M16"/>
    <mergeCell ref="C13:C14"/>
    <mergeCell ref="D13:E14"/>
    <mergeCell ref="F11:L12"/>
    <mergeCell ref="M11:M12"/>
    <mergeCell ref="C9:C10"/>
    <mergeCell ref="D9:E10"/>
    <mergeCell ref="F9:L10"/>
    <mergeCell ref="D8:E8"/>
    <mergeCell ref="F8:L8"/>
    <mergeCell ref="L6:M6"/>
    <mergeCell ref="L5:M5"/>
    <mergeCell ref="D6:H6"/>
    <mergeCell ref="I6:J6"/>
    <mergeCell ref="C5:C6"/>
  </mergeCells>
  <phoneticPr fontId="0" type="noConversion"/>
  <dataValidations count="4">
    <dataValidation type="list" allowBlank="1" showInputMessage="1" showErrorMessage="1" errorTitle="Bes kat (1-5)" error="Besiktningskategori anges enligt_x000a__x000a_1_x000a_2_x000a_3_x000a_4_x000a_5" sqref="L6:M6" xr:uid="{00000000-0002-0000-0600-000000000000}">
      <formula1>"tblBeskat"</formula1>
    </dataValidation>
    <dataValidation type="list" allowBlank="1" showInputMessage="1" showErrorMessage="1" errorTitle="Systemtyp" error="Systemtyp anges enligt_x000a__x000a_S_x000a_F_x000a_FT_x000a_FTX" sqref="K6" xr:uid="{00000000-0002-0000-0600-000001000000}">
      <formula1>tblSystemtyp</formula1>
    </dataValidation>
    <dataValidation type="list" allowBlank="1" showInputMessage="1" showErrorMessage="1" errorTitle="Pos" error="Position anges enligt checklista" sqref="D9:E54" xr:uid="{00000000-0002-0000-0600-000002000000}">
      <formula1>tblPos</formula1>
    </dataValidation>
    <dataValidation type="list" allowBlank="1" showInputMessage="1" showErrorMessage="1" errorTitle="Utfall" error="Utfall enligt_x000a__x000a_0 = Notering_x000a_1 = Bör åtgärdas_x000a_2 = Skall åtgärdas" sqref="M9:M54" xr:uid="{00000000-0002-0000-0600-000003000000}">
      <formula1>tblUtfall</formula1>
    </dataValidation>
  </dataValidations>
  <printOptions horizontalCentered="1" verticalCentered="1"/>
  <pageMargins left="0.39370078740157483" right="0.31" top="0.19685039370078741" bottom="0.33" header="0.35433070866141736" footer="0.28000000000000003"/>
  <pageSetup paperSize="9" orientation="portrait" r:id="rId1"/>
  <headerFooter alignWithMargins="0">
    <oddFooter>&amp;L&amp;8FunkiS&amp;R&amp;8v 1.1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16">
    <pageSetUpPr autoPageBreaks="0"/>
  </sheetPr>
  <dimension ref="C1:N54"/>
  <sheetViews>
    <sheetView showGridLines="0" zoomScaleNormal="100" workbookViewId="0">
      <selection activeCell="E5" sqref="E5"/>
    </sheetView>
  </sheetViews>
  <sheetFormatPr defaultColWidth="9.140625" defaultRowHeight="12.75" x14ac:dyDescent="0.2"/>
  <cols>
    <col min="1" max="1" width="9.42578125" style="233" customWidth="1"/>
    <col min="2" max="2" width="1.42578125" style="233" customWidth="1"/>
    <col min="3" max="3" width="3.42578125" style="233" customWidth="1"/>
    <col min="4" max="4" width="4.42578125" style="233" customWidth="1"/>
    <col min="5" max="5" width="3.42578125" style="233" customWidth="1"/>
    <col min="6" max="6" width="17.42578125" style="233" customWidth="1"/>
    <col min="7" max="9" width="9.140625" style="233"/>
    <col min="10" max="10" width="4" style="233" customWidth="1"/>
    <col min="11" max="11" width="19.42578125" style="233" customWidth="1"/>
    <col min="12" max="12" width="4.85546875" style="233" customWidth="1"/>
    <col min="13" max="13" width="7" style="233" customWidth="1"/>
    <col min="14" max="14" width="2" style="233" customWidth="1"/>
    <col min="15" max="15" width="1.42578125" style="233" customWidth="1"/>
    <col min="16" max="16384" width="9.140625" style="233"/>
  </cols>
  <sheetData>
    <row r="1" spans="3:14" s="196" customFormat="1" ht="8.25" customHeight="1" x14ac:dyDescent="0.2"/>
    <row r="2" spans="3:14" s="196" customFormat="1" ht="8.25" customHeight="1" x14ac:dyDescent="0.2"/>
    <row r="3" spans="3:14" s="196" customFormat="1" x14ac:dyDescent="0.2">
      <c r="H3" s="378" t="s">
        <v>340</v>
      </c>
      <c r="I3" s="379"/>
      <c r="J3" s="380"/>
      <c r="K3" s="378" t="s">
        <v>341</v>
      </c>
      <c r="L3" s="381"/>
      <c r="M3" s="382" t="s">
        <v>205</v>
      </c>
    </row>
    <row r="4" spans="3:14" s="196" customFormat="1" ht="23.25" x14ac:dyDescent="0.35">
      <c r="D4" s="384" t="s">
        <v>204</v>
      </c>
      <c r="E4" s="384"/>
      <c r="F4" s="384"/>
      <c r="G4" s="384"/>
      <c r="H4" s="385">
        <f>A_Blankett!$I$5</f>
        <v>0</v>
      </c>
      <c r="I4" s="386"/>
      <c r="J4" s="387"/>
      <c r="K4" s="388"/>
      <c r="L4" s="389"/>
      <c r="M4" s="383"/>
    </row>
    <row r="5" spans="3:14" s="196" customFormat="1" x14ac:dyDescent="0.2"/>
    <row r="6" spans="3:14" s="196" customFormat="1" x14ac:dyDescent="0.2">
      <c r="C6" s="773" t="s">
        <v>205</v>
      </c>
      <c r="D6" s="243" t="s">
        <v>195</v>
      </c>
      <c r="E6" s="244"/>
      <c r="F6" s="244"/>
      <c r="G6" s="245"/>
      <c r="H6" s="243" t="s">
        <v>257</v>
      </c>
      <c r="I6" s="244"/>
      <c r="J6" s="245"/>
      <c r="K6" s="246" t="s">
        <v>530</v>
      </c>
      <c r="L6" s="530" t="s">
        <v>528</v>
      </c>
      <c r="M6" s="775"/>
    </row>
    <row r="7" spans="3:14" s="196" customFormat="1" ht="15" customHeight="1" x14ac:dyDescent="0.2">
      <c r="C7" s="773"/>
      <c r="D7" s="761">
        <f>A_Blankett!$D$11</f>
        <v>0</v>
      </c>
      <c r="E7" s="762"/>
      <c r="F7" s="762"/>
      <c r="G7" s="763"/>
      <c r="H7" s="761">
        <f>A_Blankett!$F$19</f>
        <v>0</v>
      </c>
      <c r="I7" s="762"/>
      <c r="J7" s="763"/>
      <c r="K7" s="247"/>
      <c r="L7" s="776"/>
      <c r="M7" s="777"/>
    </row>
    <row r="8" spans="3:14" s="196" customFormat="1" x14ac:dyDescent="0.2">
      <c r="C8" s="227"/>
      <c r="D8" s="248"/>
      <c r="E8" s="248"/>
      <c r="F8" s="248"/>
      <c r="G8" s="248"/>
      <c r="H8" s="248"/>
      <c r="I8" s="248"/>
      <c r="J8" s="248"/>
      <c r="K8" s="248"/>
      <c r="L8" s="248"/>
      <c r="M8" s="248"/>
    </row>
    <row r="9" spans="3:14" s="196" customFormat="1" x14ac:dyDescent="0.2">
      <c r="C9" s="249" t="s">
        <v>206</v>
      </c>
      <c r="D9" s="361" t="s">
        <v>31</v>
      </c>
      <c r="E9" s="363"/>
      <c r="F9" s="362" t="s">
        <v>32</v>
      </c>
      <c r="G9" s="362"/>
      <c r="H9" s="362"/>
      <c r="I9" s="362"/>
      <c r="J9" s="362"/>
      <c r="K9" s="363"/>
      <c r="L9" s="361" t="s">
        <v>207</v>
      </c>
      <c r="M9" s="363"/>
    </row>
    <row r="10" spans="3:14" s="196" customFormat="1" ht="12.75" customHeight="1" x14ac:dyDescent="0.2">
      <c r="C10" s="774">
        <v>1</v>
      </c>
      <c r="D10" s="766"/>
      <c r="E10" s="767"/>
      <c r="F10" s="371"/>
      <c r="G10" s="764"/>
      <c r="H10" s="764"/>
      <c r="I10" s="764"/>
      <c r="J10" s="764"/>
      <c r="K10" s="765"/>
      <c r="L10" s="769"/>
      <c r="M10" s="770"/>
    </row>
    <row r="11" spans="3:14" s="196" customFormat="1" ht="12.75" customHeight="1" x14ac:dyDescent="0.2">
      <c r="C11" s="774"/>
      <c r="D11" s="766"/>
      <c r="E11" s="767"/>
      <c r="F11" s="371"/>
      <c r="G11" s="764"/>
      <c r="H11" s="764"/>
      <c r="I11" s="764"/>
      <c r="J11" s="764"/>
      <c r="K11" s="765"/>
      <c r="L11" s="769"/>
      <c r="M11" s="770"/>
    </row>
    <row r="12" spans="3:14" s="196" customFormat="1" ht="12.75" customHeight="1" x14ac:dyDescent="0.2">
      <c r="C12" s="771">
        <v>2</v>
      </c>
      <c r="D12" s="766"/>
      <c r="E12" s="767"/>
      <c r="F12" s="371"/>
      <c r="G12" s="764"/>
      <c r="H12" s="764"/>
      <c r="I12" s="764"/>
      <c r="J12" s="764"/>
      <c r="K12" s="765"/>
      <c r="L12" s="769"/>
      <c r="M12" s="770"/>
    </row>
    <row r="13" spans="3:14" s="196" customFormat="1" ht="12.75" customHeight="1" x14ac:dyDescent="0.2">
      <c r="C13" s="771"/>
      <c r="D13" s="766"/>
      <c r="E13" s="767"/>
      <c r="F13" s="371"/>
      <c r="G13" s="764"/>
      <c r="H13" s="764"/>
      <c r="I13" s="764"/>
      <c r="J13" s="764"/>
      <c r="K13" s="765"/>
      <c r="L13" s="769"/>
      <c r="M13" s="770"/>
    </row>
    <row r="14" spans="3:14" s="196" customFormat="1" ht="12.75" customHeight="1" x14ac:dyDescent="0.2">
      <c r="C14" s="771">
        <v>3</v>
      </c>
      <c r="D14" s="766"/>
      <c r="E14" s="767"/>
      <c r="F14" s="371"/>
      <c r="G14" s="764"/>
      <c r="H14" s="764"/>
      <c r="I14" s="764"/>
      <c r="J14" s="764"/>
      <c r="K14" s="765"/>
      <c r="L14" s="769"/>
      <c r="M14" s="770"/>
    </row>
    <row r="15" spans="3:14" s="196" customFormat="1" ht="12.75" customHeight="1" x14ac:dyDescent="0.2">
      <c r="C15" s="771"/>
      <c r="D15" s="766"/>
      <c r="E15" s="767"/>
      <c r="F15" s="371"/>
      <c r="G15" s="764"/>
      <c r="H15" s="764"/>
      <c r="I15" s="764"/>
      <c r="J15" s="764"/>
      <c r="K15" s="765"/>
      <c r="L15" s="769"/>
      <c r="M15" s="770"/>
      <c r="N15" s="197"/>
    </row>
    <row r="16" spans="3:14" s="196" customFormat="1" ht="12.75" customHeight="1" x14ac:dyDescent="0.2">
      <c r="C16" s="771">
        <v>4</v>
      </c>
      <c r="D16" s="766"/>
      <c r="E16" s="767"/>
      <c r="F16" s="371"/>
      <c r="G16" s="764"/>
      <c r="H16" s="764"/>
      <c r="I16" s="764"/>
      <c r="J16" s="764"/>
      <c r="K16" s="765"/>
      <c r="L16" s="769"/>
      <c r="M16" s="770"/>
    </row>
    <row r="17" spans="3:13" s="196" customFormat="1" ht="12.75" customHeight="1" x14ac:dyDescent="0.2">
      <c r="C17" s="771"/>
      <c r="D17" s="766"/>
      <c r="E17" s="767"/>
      <c r="F17" s="371"/>
      <c r="G17" s="764"/>
      <c r="H17" s="764"/>
      <c r="I17" s="764"/>
      <c r="J17" s="764"/>
      <c r="K17" s="765"/>
      <c r="L17" s="769"/>
      <c r="M17" s="770"/>
    </row>
    <row r="18" spans="3:13" s="196" customFormat="1" ht="12.75" customHeight="1" x14ac:dyDescent="0.2">
      <c r="C18" s="771">
        <v>5</v>
      </c>
      <c r="D18" s="766"/>
      <c r="E18" s="767"/>
      <c r="F18" s="371"/>
      <c r="G18" s="764"/>
      <c r="H18" s="764"/>
      <c r="I18" s="764"/>
      <c r="J18" s="764"/>
      <c r="K18" s="765"/>
      <c r="L18" s="769"/>
      <c r="M18" s="770"/>
    </row>
    <row r="19" spans="3:13" s="196" customFormat="1" ht="12.75" customHeight="1" x14ac:dyDescent="0.2">
      <c r="C19" s="771"/>
      <c r="D19" s="766"/>
      <c r="E19" s="767"/>
      <c r="F19" s="371"/>
      <c r="G19" s="764"/>
      <c r="H19" s="764"/>
      <c r="I19" s="764"/>
      <c r="J19" s="764"/>
      <c r="K19" s="765"/>
      <c r="L19" s="769"/>
      <c r="M19" s="770"/>
    </row>
    <row r="20" spans="3:13" s="196" customFormat="1" ht="12.75" customHeight="1" x14ac:dyDescent="0.2">
      <c r="C20" s="771">
        <v>6</v>
      </c>
      <c r="D20" s="766"/>
      <c r="E20" s="767"/>
      <c r="F20" s="371"/>
      <c r="G20" s="764"/>
      <c r="H20" s="764"/>
      <c r="I20" s="764"/>
      <c r="J20" s="764"/>
      <c r="K20" s="765"/>
      <c r="L20" s="769"/>
      <c r="M20" s="770"/>
    </row>
    <row r="21" spans="3:13" s="196" customFormat="1" ht="12.75" customHeight="1" x14ac:dyDescent="0.2">
      <c r="C21" s="771"/>
      <c r="D21" s="766"/>
      <c r="E21" s="767"/>
      <c r="F21" s="371"/>
      <c r="G21" s="764"/>
      <c r="H21" s="764"/>
      <c r="I21" s="764"/>
      <c r="J21" s="764"/>
      <c r="K21" s="765"/>
      <c r="L21" s="769"/>
      <c r="M21" s="770"/>
    </row>
    <row r="22" spans="3:13" s="196" customFormat="1" ht="12.75" customHeight="1" x14ac:dyDescent="0.2">
      <c r="C22" s="771">
        <v>7</v>
      </c>
      <c r="D22" s="766"/>
      <c r="E22" s="767"/>
      <c r="F22" s="371"/>
      <c r="G22" s="764"/>
      <c r="H22" s="764"/>
      <c r="I22" s="764"/>
      <c r="J22" s="764"/>
      <c r="K22" s="765"/>
      <c r="L22" s="769"/>
      <c r="M22" s="770"/>
    </row>
    <row r="23" spans="3:13" s="196" customFormat="1" ht="12.75" customHeight="1" x14ac:dyDescent="0.2">
      <c r="C23" s="771"/>
      <c r="D23" s="766"/>
      <c r="E23" s="767"/>
      <c r="F23" s="371"/>
      <c r="G23" s="764"/>
      <c r="H23" s="764"/>
      <c r="I23" s="764"/>
      <c r="J23" s="764"/>
      <c r="K23" s="765"/>
      <c r="L23" s="769"/>
      <c r="M23" s="770"/>
    </row>
    <row r="24" spans="3:13" s="196" customFormat="1" ht="12.75" customHeight="1" x14ac:dyDescent="0.2">
      <c r="C24" s="771">
        <v>8</v>
      </c>
      <c r="D24" s="766"/>
      <c r="E24" s="767"/>
      <c r="F24" s="371"/>
      <c r="G24" s="764"/>
      <c r="H24" s="764"/>
      <c r="I24" s="764"/>
      <c r="J24" s="764"/>
      <c r="K24" s="765"/>
      <c r="L24" s="769"/>
      <c r="M24" s="770"/>
    </row>
    <row r="25" spans="3:13" s="196" customFormat="1" ht="12.75" customHeight="1" x14ac:dyDescent="0.2">
      <c r="C25" s="771"/>
      <c r="D25" s="766"/>
      <c r="E25" s="767"/>
      <c r="F25" s="371"/>
      <c r="G25" s="764"/>
      <c r="H25" s="764"/>
      <c r="I25" s="764"/>
      <c r="J25" s="764"/>
      <c r="K25" s="765"/>
      <c r="L25" s="769"/>
      <c r="M25" s="770"/>
    </row>
    <row r="26" spans="3:13" s="196" customFormat="1" ht="12.75" customHeight="1" x14ac:dyDescent="0.2">
      <c r="C26" s="771">
        <v>9</v>
      </c>
      <c r="D26" s="766"/>
      <c r="E26" s="767"/>
      <c r="F26" s="371"/>
      <c r="G26" s="764"/>
      <c r="H26" s="764"/>
      <c r="I26" s="764"/>
      <c r="J26" s="764"/>
      <c r="K26" s="765"/>
      <c r="L26" s="769"/>
      <c r="M26" s="770"/>
    </row>
    <row r="27" spans="3:13" s="196" customFormat="1" ht="12.75" customHeight="1" x14ac:dyDescent="0.2">
      <c r="C27" s="771"/>
      <c r="D27" s="766"/>
      <c r="E27" s="767"/>
      <c r="F27" s="371"/>
      <c r="G27" s="764"/>
      <c r="H27" s="764"/>
      <c r="I27" s="764"/>
      <c r="J27" s="764"/>
      <c r="K27" s="765"/>
      <c r="L27" s="769"/>
      <c r="M27" s="770"/>
    </row>
    <row r="28" spans="3:13" s="196" customFormat="1" ht="12.75" customHeight="1" x14ac:dyDescent="0.2">
      <c r="C28" s="771">
        <v>10</v>
      </c>
      <c r="D28" s="766"/>
      <c r="E28" s="767"/>
      <c r="F28" s="371"/>
      <c r="G28" s="764"/>
      <c r="H28" s="764"/>
      <c r="I28" s="764"/>
      <c r="J28" s="764"/>
      <c r="K28" s="765"/>
      <c r="L28" s="769"/>
      <c r="M28" s="770"/>
    </row>
    <row r="29" spans="3:13" s="196" customFormat="1" ht="12.75" customHeight="1" x14ac:dyDescent="0.2">
      <c r="C29" s="771"/>
      <c r="D29" s="766"/>
      <c r="E29" s="767"/>
      <c r="F29" s="371"/>
      <c r="G29" s="764"/>
      <c r="H29" s="764"/>
      <c r="I29" s="764"/>
      <c r="J29" s="764"/>
      <c r="K29" s="765"/>
      <c r="L29" s="769"/>
      <c r="M29" s="770"/>
    </row>
    <row r="30" spans="3:13" s="196" customFormat="1" ht="15" customHeight="1" x14ac:dyDescent="0.2">
      <c r="C30" s="771">
        <v>11</v>
      </c>
      <c r="D30" s="766"/>
      <c r="E30" s="767"/>
      <c r="F30" s="371"/>
      <c r="G30" s="764"/>
      <c r="H30" s="764"/>
      <c r="I30" s="764"/>
      <c r="J30" s="764"/>
      <c r="K30" s="765"/>
      <c r="L30" s="769"/>
      <c r="M30" s="770"/>
    </row>
    <row r="31" spans="3:13" s="196" customFormat="1" ht="15" customHeight="1" x14ac:dyDescent="0.2">
      <c r="C31" s="771"/>
      <c r="D31" s="766"/>
      <c r="E31" s="767"/>
      <c r="F31" s="371"/>
      <c r="G31" s="764"/>
      <c r="H31" s="764"/>
      <c r="I31" s="764"/>
      <c r="J31" s="764"/>
      <c r="K31" s="765"/>
      <c r="L31" s="769"/>
      <c r="M31" s="770"/>
    </row>
    <row r="32" spans="3:13" s="196" customFormat="1" ht="15" customHeight="1" x14ac:dyDescent="0.2">
      <c r="C32" s="771">
        <v>12</v>
      </c>
      <c r="D32" s="766"/>
      <c r="E32" s="767"/>
      <c r="F32" s="371"/>
      <c r="G32" s="764"/>
      <c r="H32" s="764"/>
      <c r="I32" s="764"/>
      <c r="J32" s="764"/>
      <c r="K32" s="765"/>
      <c r="L32" s="769"/>
      <c r="M32" s="770"/>
    </row>
    <row r="33" spans="3:13" s="196" customFormat="1" ht="15" customHeight="1" x14ac:dyDescent="0.2">
      <c r="C33" s="771"/>
      <c r="D33" s="766"/>
      <c r="E33" s="767"/>
      <c r="F33" s="371"/>
      <c r="G33" s="764"/>
      <c r="H33" s="764"/>
      <c r="I33" s="764"/>
      <c r="J33" s="764"/>
      <c r="K33" s="765"/>
      <c r="L33" s="769"/>
      <c r="M33" s="770"/>
    </row>
    <row r="34" spans="3:13" s="196" customFormat="1" ht="15.75" customHeight="1" x14ac:dyDescent="0.2">
      <c r="C34" s="771">
        <v>13</v>
      </c>
      <c r="D34" s="766"/>
      <c r="E34" s="767"/>
      <c r="F34" s="371"/>
      <c r="G34" s="764"/>
      <c r="H34" s="764"/>
      <c r="I34" s="764"/>
      <c r="J34" s="764"/>
      <c r="K34" s="765"/>
      <c r="L34" s="769"/>
      <c r="M34" s="770"/>
    </row>
    <row r="35" spans="3:13" s="196" customFormat="1" ht="15.75" customHeight="1" x14ac:dyDescent="0.2">
      <c r="C35" s="771"/>
      <c r="D35" s="766"/>
      <c r="E35" s="767"/>
      <c r="F35" s="371"/>
      <c r="G35" s="764"/>
      <c r="H35" s="764"/>
      <c r="I35" s="764"/>
      <c r="J35" s="764"/>
      <c r="K35" s="765"/>
      <c r="L35" s="769"/>
      <c r="M35" s="770"/>
    </row>
    <row r="36" spans="3:13" s="196" customFormat="1" ht="15" customHeight="1" x14ac:dyDescent="0.2">
      <c r="C36" s="771">
        <v>14</v>
      </c>
      <c r="D36" s="766"/>
      <c r="E36" s="767"/>
      <c r="F36" s="371"/>
      <c r="G36" s="764"/>
      <c r="H36" s="764"/>
      <c r="I36" s="764"/>
      <c r="J36" s="764"/>
      <c r="K36" s="765"/>
      <c r="L36" s="769"/>
      <c r="M36" s="770"/>
    </row>
    <row r="37" spans="3:13" s="196" customFormat="1" ht="15" customHeight="1" x14ac:dyDescent="0.2">
      <c r="C37" s="771"/>
      <c r="D37" s="766"/>
      <c r="E37" s="767"/>
      <c r="F37" s="371"/>
      <c r="G37" s="764"/>
      <c r="H37" s="764"/>
      <c r="I37" s="764"/>
      <c r="J37" s="764"/>
      <c r="K37" s="765"/>
      <c r="L37" s="769"/>
      <c r="M37" s="770"/>
    </row>
    <row r="38" spans="3:13" s="196" customFormat="1" ht="15" customHeight="1" x14ac:dyDescent="0.2">
      <c r="C38" s="771">
        <v>15</v>
      </c>
      <c r="D38" s="766"/>
      <c r="E38" s="767"/>
      <c r="F38" s="371"/>
      <c r="G38" s="764"/>
      <c r="H38" s="764"/>
      <c r="I38" s="764"/>
      <c r="J38" s="764"/>
      <c r="K38" s="765"/>
      <c r="L38" s="769"/>
      <c r="M38" s="770"/>
    </row>
    <row r="39" spans="3:13" s="196" customFormat="1" ht="15" customHeight="1" x14ac:dyDescent="0.2">
      <c r="C39" s="771"/>
      <c r="D39" s="766"/>
      <c r="E39" s="767"/>
      <c r="F39" s="371"/>
      <c r="G39" s="764"/>
      <c r="H39" s="764"/>
      <c r="I39" s="764"/>
      <c r="J39" s="764"/>
      <c r="K39" s="765"/>
      <c r="L39" s="769"/>
      <c r="M39" s="770"/>
    </row>
    <row r="40" spans="3:13" s="196" customFormat="1" ht="15" customHeight="1" x14ac:dyDescent="0.2">
      <c r="C40" s="771">
        <v>16</v>
      </c>
      <c r="D40" s="766"/>
      <c r="E40" s="767"/>
      <c r="F40" s="371"/>
      <c r="G40" s="764"/>
      <c r="H40" s="764"/>
      <c r="I40" s="764"/>
      <c r="J40" s="764"/>
      <c r="K40" s="765"/>
      <c r="L40" s="769"/>
      <c r="M40" s="770"/>
    </row>
    <row r="41" spans="3:13" s="196" customFormat="1" ht="15" customHeight="1" x14ac:dyDescent="0.2">
      <c r="C41" s="771"/>
      <c r="D41" s="766"/>
      <c r="E41" s="767"/>
      <c r="F41" s="371"/>
      <c r="G41" s="764"/>
      <c r="H41" s="764"/>
      <c r="I41" s="764"/>
      <c r="J41" s="764"/>
      <c r="K41" s="765"/>
      <c r="L41" s="769"/>
      <c r="M41" s="770"/>
    </row>
    <row r="42" spans="3:13" s="196" customFormat="1" ht="15" customHeight="1" x14ac:dyDescent="0.2">
      <c r="C42" s="771">
        <v>17</v>
      </c>
      <c r="D42" s="766"/>
      <c r="E42" s="767"/>
      <c r="F42" s="371"/>
      <c r="G42" s="764"/>
      <c r="H42" s="764"/>
      <c r="I42" s="764"/>
      <c r="J42" s="764"/>
      <c r="K42" s="765"/>
      <c r="L42" s="769"/>
      <c r="M42" s="770"/>
    </row>
    <row r="43" spans="3:13" s="196" customFormat="1" ht="15" customHeight="1" x14ac:dyDescent="0.2">
      <c r="C43" s="771"/>
      <c r="D43" s="766"/>
      <c r="E43" s="767"/>
      <c r="F43" s="371"/>
      <c r="G43" s="764"/>
      <c r="H43" s="764"/>
      <c r="I43" s="764"/>
      <c r="J43" s="764"/>
      <c r="K43" s="765"/>
      <c r="L43" s="769"/>
      <c r="M43" s="770"/>
    </row>
    <row r="44" spans="3:13" s="196" customFormat="1" ht="12.75" customHeight="1" x14ac:dyDescent="0.2">
      <c r="C44" s="771">
        <v>18</v>
      </c>
      <c r="D44" s="766"/>
      <c r="E44" s="767"/>
      <c r="F44" s="371"/>
      <c r="G44" s="764"/>
      <c r="H44" s="764"/>
      <c r="I44" s="764"/>
      <c r="J44" s="764"/>
      <c r="K44" s="765"/>
      <c r="L44" s="769"/>
      <c r="M44" s="770"/>
    </row>
    <row r="45" spans="3:13" s="196" customFormat="1" ht="12.75" customHeight="1" x14ac:dyDescent="0.2">
      <c r="C45" s="771"/>
      <c r="D45" s="766"/>
      <c r="E45" s="767"/>
      <c r="F45" s="371"/>
      <c r="G45" s="764"/>
      <c r="H45" s="764"/>
      <c r="I45" s="764"/>
      <c r="J45" s="764"/>
      <c r="K45" s="765"/>
      <c r="L45" s="769"/>
      <c r="M45" s="770"/>
    </row>
    <row r="46" spans="3:13" s="196" customFormat="1" ht="15" customHeight="1" x14ac:dyDescent="0.2">
      <c r="C46" s="771">
        <v>19</v>
      </c>
      <c r="D46" s="766"/>
      <c r="E46" s="767"/>
      <c r="F46" s="371"/>
      <c r="G46" s="764"/>
      <c r="H46" s="764"/>
      <c r="I46" s="764"/>
      <c r="J46" s="764"/>
      <c r="K46" s="765"/>
      <c r="L46" s="769"/>
      <c r="M46" s="770"/>
    </row>
    <row r="47" spans="3:13" s="196" customFormat="1" ht="15" customHeight="1" x14ac:dyDescent="0.2">
      <c r="C47" s="771"/>
      <c r="D47" s="766"/>
      <c r="E47" s="767"/>
      <c r="F47" s="371"/>
      <c r="G47" s="764"/>
      <c r="H47" s="764"/>
      <c r="I47" s="764"/>
      <c r="J47" s="764"/>
      <c r="K47" s="765"/>
      <c r="L47" s="769"/>
      <c r="M47" s="770"/>
    </row>
    <row r="48" spans="3:13" s="196" customFormat="1" ht="15" customHeight="1" x14ac:dyDescent="0.2">
      <c r="C48" s="771">
        <v>20</v>
      </c>
      <c r="D48" s="766"/>
      <c r="E48" s="767"/>
      <c r="F48" s="371"/>
      <c r="G48" s="764"/>
      <c r="H48" s="764"/>
      <c r="I48" s="764"/>
      <c r="J48" s="764"/>
      <c r="K48" s="765"/>
      <c r="L48" s="769"/>
      <c r="M48" s="770"/>
    </row>
    <row r="49" spans="3:13" s="196" customFormat="1" ht="15" customHeight="1" x14ac:dyDescent="0.2">
      <c r="C49" s="771"/>
      <c r="D49" s="766"/>
      <c r="E49" s="767"/>
      <c r="F49" s="371"/>
      <c r="G49" s="764"/>
      <c r="H49" s="764"/>
      <c r="I49" s="764"/>
      <c r="J49" s="764"/>
      <c r="K49" s="765"/>
      <c r="L49" s="769"/>
      <c r="M49" s="770"/>
    </row>
    <row r="50" spans="3:13" s="196" customFormat="1" ht="15" customHeight="1" x14ac:dyDescent="0.2">
      <c r="C50" s="771">
        <v>21</v>
      </c>
      <c r="D50" s="766"/>
      <c r="E50" s="767"/>
      <c r="F50" s="371"/>
      <c r="G50" s="764"/>
      <c r="H50" s="764"/>
      <c r="I50" s="764"/>
      <c r="J50" s="764"/>
      <c r="K50" s="765"/>
      <c r="L50" s="769"/>
      <c r="M50" s="770"/>
    </row>
    <row r="51" spans="3:13" s="196" customFormat="1" ht="15" customHeight="1" x14ac:dyDescent="0.2">
      <c r="C51" s="771"/>
      <c r="D51" s="766"/>
      <c r="E51" s="767"/>
      <c r="F51" s="371"/>
      <c r="G51" s="764"/>
      <c r="H51" s="764"/>
      <c r="I51" s="764"/>
      <c r="J51" s="764"/>
      <c r="K51" s="765"/>
      <c r="L51" s="769"/>
      <c r="M51" s="770"/>
    </row>
    <row r="52" spans="3:13" s="196" customFormat="1" ht="15.75" customHeight="1" x14ac:dyDescent="0.2">
      <c r="C52" s="771">
        <v>22</v>
      </c>
      <c r="D52" s="766"/>
      <c r="E52" s="767"/>
      <c r="F52" s="371"/>
      <c r="G52" s="764"/>
      <c r="H52" s="764"/>
      <c r="I52" s="764"/>
      <c r="J52" s="764"/>
      <c r="K52" s="765"/>
      <c r="L52" s="769"/>
      <c r="M52" s="770"/>
    </row>
    <row r="53" spans="3:13" s="196" customFormat="1" ht="15.75" customHeight="1" x14ac:dyDescent="0.2">
      <c r="C53" s="771"/>
      <c r="D53" s="766"/>
      <c r="E53" s="767"/>
      <c r="F53" s="371"/>
      <c r="G53" s="764"/>
      <c r="H53" s="764"/>
      <c r="I53" s="764"/>
      <c r="J53" s="764"/>
      <c r="K53" s="765"/>
      <c r="L53" s="769"/>
      <c r="M53" s="770"/>
    </row>
    <row r="54" spans="3:13" s="196" customFormat="1" ht="15" customHeight="1" x14ac:dyDescent="0.2">
      <c r="C54" s="250"/>
      <c r="D54" s="772"/>
      <c r="E54" s="772"/>
      <c r="F54" s="772"/>
      <c r="G54" s="772"/>
      <c r="H54" s="772"/>
      <c r="I54" s="772"/>
      <c r="J54" s="772"/>
      <c r="K54" s="772"/>
      <c r="L54" s="768"/>
      <c r="M54" s="768"/>
    </row>
  </sheetData>
  <sheetProtection selectLockedCells="1"/>
  <mergeCells count="105">
    <mergeCell ref="H3:J3"/>
    <mergeCell ref="K3:L3"/>
    <mergeCell ref="M3:M4"/>
    <mergeCell ref="H4:J4"/>
    <mergeCell ref="L16:M17"/>
    <mergeCell ref="L18:M19"/>
    <mergeCell ref="L9:M9"/>
    <mergeCell ref="K4:L4"/>
    <mergeCell ref="L6:M6"/>
    <mergeCell ref="L7:M7"/>
    <mergeCell ref="L12:M13"/>
    <mergeCell ref="L14:M15"/>
    <mergeCell ref="L34:M35"/>
    <mergeCell ref="L28:M29"/>
    <mergeCell ref="L30:M31"/>
    <mergeCell ref="L20:M21"/>
    <mergeCell ref="L22:M23"/>
    <mergeCell ref="L32:M33"/>
    <mergeCell ref="F30:K31"/>
    <mergeCell ref="L26:M27"/>
    <mergeCell ref="D24:E25"/>
    <mergeCell ref="D26:E27"/>
    <mergeCell ref="D22:E23"/>
    <mergeCell ref="L24:M25"/>
    <mergeCell ref="D28:E29"/>
    <mergeCell ref="D30:E31"/>
    <mergeCell ref="C16:C17"/>
    <mergeCell ref="C18:C19"/>
    <mergeCell ref="C20:C21"/>
    <mergeCell ref="C22:C23"/>
    <mergeCell ref="C24:C25"/>
    <mergeCell ref="C26:C27"/>
    <mergeCell ref="C6:C7"/>
    <mergeCell ref="C10:C11"/>
    <mergeCell ref="C12:C13"/>
    <mergeCell ref="C14:C15"/>
    <mergeCell ref="D52:E53"/>
    <mergeCell ref="D54:E54"/>
    <mergeCell ref="F54:K54"/>
    <mergeCell ref="F52:K53"/>
    <mergeCell ref="F50:K51"/>
    <mergeCell ref="C44:C45"/>
    <mergeCell ref="C48:C49"/>
    <mergeCell ref="D44:E45"/>
    <mergeCell ref="F48:K49"/>
    <mergeCell ref="C52:C53"/>
    <mergeCell ref="D46:E47"/>
    <mergeCell ref="F44:K45"/>
    <mergeCell ref="C28:C29"/>
    <mergeCell ref="C30:C31"/>
    <mergeCell ref="C34:C35"/>
    <mergeCell ref="C42:C43"/>
    <mergeCell ref="C46:C47"/>
    <mergeCell ref="C32:C33"/>
    <mergeCell ref="C36:C37"/>
    <mergeCell ref="C40:C41"/>
    <mergeCell ref="C38:C39"/>
    <mergeCell ref="F42:K43"/>
    <mergeCell ref="C50:C51"/>
    <mergeCell ref="D48:E49"/>
    <mergeCell ref="D36:E37"/>
    <mergeCell ref="D38:E39"/>
    <mergeCell ref="D40:E41"/>
    <mergeCell ref="F32:K33"/>
    <mergeCell ref="F36:K37"/>
    <mergeCell ref="D32:E33"/>
    <mergeCell ref="D34:E35"/>
    <mergeCell ref="D42:E43"/>
    <mergeCell ref="D50:E51"/>
    <mergeCell ref="L54:M54"/>
    <mergeCell ref="L10:M11"/>
    <mergeCell ref="F10:K11"/>
    <mergeCell ref="F12:K13"/>
    <mergeCell ref="F14:K15"/>
    <mergeCell ref="F16:K17"/>
    <mergeCell ref="F18:K19"/>
    <mergeCell ref="L36:M37"/>
    <mergeCell ref="L38:M39"/>
    <mergeCell ref="L44:M45"/>
    <mergeCell ref="L42:M43"/>
    <mergeCell ref="F34:K35"/>
    <mergeCell ref="F40:K41"/>
    <mergeCell ref="F38:K39"/>
    <mergeCell ref="F24:K25"/>
    <mergeCell ref="F26:K27"/>
    <mergeCell ref="F22:K23"/>
    <mergeCell ref="L52:M53"/>
    <mergeCell ref="L50:M51"/>
    <mergeCell ref="L40:M41"/>
    <mergeCell ref="L48:M49"/>
    <mergeCell ref="L46:M47"/>
    <mergeCell ref="F28:K29"/>
    <mergeCell ref="F46:K47"/>
    <mergeCell ref="D4:G4"/>
    <mergeCell ref="D7:G7"/>
    <mergeCell ref="H7:J7"/>
    <mergeCell ref="F20:K21"/>
    <mergeCell ref="D9:E9"/>
    <mergeCell ref="F9:K9"/>
    <mergeCell ref="D14:E15"/>
    <mergeCell ref="D16:E17"/>
    <mergeCell ref="D18:E19"/>
    <mergeCell ref="D20:E21"/>
    <mergeCell ref="D10:E11"/>
    <mergeCell ref="D12:E13"/>
  </mergeCells>
  <phoneticPr fontId="0" type="noConversion"/>
  <dataValidations count="4">
    <dataValidation type="list" allowBlank="1" showInputMessage="1" showErrorMessage="1" sqref="K7" xr:uid="{00000000-0002-0000-0700-000000000000}">
      <formula1>tblSystemtyp</formula1>
    </dataValidation>
    <dataValidation type="list" allowBlank="1" showInputMessage="1" showErrorMessage="1" sqref="L7:M7" xr:uid="{00000000-0002-0000-0700-000001000000}">
      <formula1>tblbeskat</formula1>
    </dataValidation>
    <dataValidation type="list" allowBlank="1" showInputMessage="1" showErrorMessage="1" errorTitle="Pos" error="Position anges enligt checklista" sqref="D10:E53" xr:uid="{00000000-0002-0000-0700-000002000000}">
      <formula1>tblPos</formula1>
    </dataValidation>
    <dataValidation type="whole" allowBlank="1" showInputMessage="1" showErrorMessage="1" errorTitle="Kostnad" error="Kostnad anges i kr" sqref="L10:M53" xr:uid="{00000000-0002-0000-0700-000003000000}">
      <formula1>0</formula1>
      <formula2>5000000</formula2>
    </dataValidation>
  </dataValidations>
  <printOptions horizontalCentered="1" verticalCentered="1"/>
  <pageMargins left="0.39370078740157483" right="0.31" top="0.19685039370078741" bottom="0.33" header="0.35433070866141736" footer="0.28000000000000003"/>
  <pageSetup paperSize="9" orientation="portrait" r:id="rId1"/>
  <headerFooter alignWithMargins="0">
    <oddFooter>&amp;L&amp;8FunkiS&amp;R&amp;8v 1.1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sCertTemplate">
    <pageSetUpPr fitToPage="1"/>
  </sheetPr>
  <dimension ref="B1:M25"/>
  <sheetViews>
    <sheetView showGridLines="0" workbookViewId="0">
      <selection activeCell="P6" sqref="P6:Q6"/>
    </sheetView>
  </sheetViews>
  <sheetFormatPr defaultColWidth="9.140625" defaultRowHeight="12.75" x14ac:dyDescent="0.2"/>
  <cols>
    <col min="1" max="1" width="7.42578125" style="194" customWidth="1"/>
    <col min="2" max="4" width="1.42578125" style="34" customWidth="1"/>
    <col min="5" max="5" width="12.42578125" style="34" customWidth="1"/>
    <col min="6" max="6" width="10" style="34" customWidth="1"/>
    <col min="7" max="7" width="18" style="34" customWidth="1"/>
    <col min="8" max="9" width="6.42578125" style="34" customWidth="1"/>
    <col min="10" max="10" width="14.42578125" style="34" customWidth="1"/>
    <col min="11" max="13" width="1.42578125" style="34" customWidth="1"/>
    <col min="14" max="14" width="7.42578125" style="194" customWidth="1"/>
    <col min="15" max="15" width="2.42578125" style="194" customWidth="1"/>
    <col min="16" max="17" width="2.140625" style="194" customWidth="1"/>
    <col min="18" max="25" width="9.140625" style="194"/>
    <col min="26" max="26" width="1.42578125" style="194" customWidth="1"/>
    <col min="27" max="28" width="2.42578125" style="194" customWidth="1"/>
    <col min="29" max="16384" width="9.140625" style="194"/>
  </cols>
  <sheetData>
    <row r="1" spans="2:13" ht="15.75" customHeight="1" x14ac:dyDescent="0.2"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</row>
    <row r="2" spans="2:13" ht="8.25" customHeight="1" x14ac:dyDescent="0.2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</row>
    <row r="3" spans="2:13" ht="12" customHeight="1" x14ac:dyDescent="0.2">
      <c r="B3" s="138"/>
      <c r="C3" s="189" t="s">
        <v>583</v>
      </c>
      <c r="D3" s="15"/>
      <c r="E3" s="15"/>
      <c r="F3" s="15"/>
      <c r="G3" s="15"/>
      <c r="H3" s="15"/>
      <c r="I3" s="15"/>
      <c r="J3" s="15"/>
      <c r="K3" s="15"/>
      <c r="L3" s="16"/>
      <c r="M3" s="138"/>
    </row>
    <row r="4" spans="2:13" ht="45.75" customHeight="1" x14ac:dyDescent="0.2">
      <c r="B4" s="138"/>
      <c r="C4" s="17"/>
      <c r="D4" s="437"/>
      <c r="E4" s="438" t="s">
        <v>259</v>
      </c>
      <c r="F4" s="439"/>
      <c r="G4" s="440"/>
      <c r="H4" s="441"/>
      <c r="I4" s="441"/>
      <c r="J4" s="441"/>
      <c r="K4" s="437"/>
      <c r="L4" s="18"/>
      <c r="M4" s="138"/>
    </row>
    <row r="5" spans="2:13" ht="14.1" customHeight="1" x14ac:dyDescent="0.2">
      <c r="B5" s="138"/>
      <c r="C5" s="17"/>
      <c r="D5" s="437"/>
      <c r="E5" s="445" t="s">
        <v>535</v>
      </c>
      <c r="F5" s="445"/>
      <c r="G5" s="445"/>
      <c r="H5" s="445"/>
      <c r="I5" s="445"/>
      <c r="J5" s="445"/>
      <c r="K5" s="437"/>
      <c r="L5" s="18"/>
      <c r="M5" s="138"/>
    </row>
    <row r="6" spans="2:13" ht="13.5" customHeight="1" x14ac:dyDescent="0.2">
      <c r="B6" s="138"/>
      <c r="C6" s="17"/>
      <c r="D6" s="437"/>
      <c r="E6" s="437" t="s">
        <v>559</v>
      </c>
      <c r="F6" s="437"/>
      <c r="G6" s="437"/>
      <c r="H6" s="437"/>
      <c r="I6" s="437"/>
      <c r="J6" s="437"/>
      <c r="K6" s="437"/>
      <c r="L6" s="18"/>
      <c r="M6" s="138"/>
    </row>
    <row r="7" spans="2:13" ht="15" customHeight="1" x14ac:dyDescent="0.2">
      <c r="B7" s="138"/>
      <c r="C7" s="17"/>
      <c r="D7" s="437"/>
      <c r="E7" s="437" t="s">
        <v>560</v>
      </c>
      <c r="F7" s="437"/>
      <c r="G7" s="437"/>
      <c r="H7" s="437"/>
      <c r="I7" s="437"/>
      <c r="J7" s="437"/>
      <c r="K7" s="437"/>
      <c r="L7" s="18"/>
      <c r="M7" s="138"/>
    </row>
    <row r="8" spans="2:13" ht="9.9499999999999993" customHeight="1" x14ac:dyDescent="0.2">
      <c r="B8" s="138"/>
      <c r="C8" s="17"/>
      <c r="D8" s="437"/>
      <c r="E8" s="446" t="s">
        <v>195</v>
      </c>
      <c r="F8" s="447"/>
      <c r="G8" s="447"/>
      <c r="H8" s="448" t="s">
        <v>347</v>
      </c>
      <c r="I8" s="449"/>
      <c r="J8" s="450"/>
      <c r="K8" s="437"/>
      <c r="L8" s="18"/>
      <c r="M8" s="138"/>
    </row>
    <row r="9" spans="2:13" ht="16.5" customHeight="1" x14ac:dyDescent="0.2">
      <c r="B9" s="138"/>
      <c r="C9" s="17"/>
      <c r="D9" s="437"/>
      <c r="E9" s="471" cm="1">
        <f t="array" aca="1" ref="E9" ca="1">_xlfn.SINGLE(IFERROR(INDIRECT(C3&amp;"!D11"),""))</f>
        <v>0</v>
      </c>
      <c r="F9" s="454"/>
      <c r="G9" s="454"/>
      <c r="H9" s="453">
        <f>A_Blankett!$H$11</f>
        <v>0</v>
      </c>
      <c r="I9" s="454"/>
      <c r="J9" s="455"/>
      <c r="K9" s="437"/>
      <c r="L9" s="18"/>
      <c r="M9" s="138"/>
    </row>
    <row r="10" spans="2:13" ht="9.9499999999999993" customHeight="1" x14ac:dyDescent="0.2">
      <c r="B10" s="138"/>
      <c r="C10" s="17"/>
      <c r="D10" s="437"/>
      <c r="E10" s="446" t="s">
        <v>341</v>
      </c>
      <c r="F10" s="447"/>
      <c r="G10" s="447"/>
      <c r="H10" s="447"/>
      <c r="I10" s="447"/>
      <c r="J10" s="456"/>
      <c r="K10" s="437"/>
      <c r="L10" s="18"/>
      <c r="M10" s="138"/>
    </row>
    <row r="11" spans="2:13" ht="16.5" customHeight="1" x14ac:dyDescent="0.2">
      <c r="B11" s="138"/>
      <c r="C11" s="17"/>
      <c r="D11" s="437"/>
      <c r="E11" s="190">
        <f ca="1">IFERROR(INDIRECT(C3&amp;"!k6"),"")</f>
        <v>0</v>
      </c>
      <c r="F11" s="191"/>
      <c r="G11" s="191"/>
      <c r="H11" s="191"/>
      <c r="I11" s="191"/>
      <c r="J11" s="152"/>
      <c r="K11" s="437"/>
      <c r="L11" s="18"/>
      <c r="M11" s="138"/>
    </row>
    <row r="12" spans="2:13" ht="12" customHeight="1" x14ac:dyDescent="0.2">
      <c r="B12" s="138"/>
      <c r="C12" s="17"/>
      <c r="D12" s="437"/>
      <c r="E12" s="457" t="s">
        <v>569</v>
      </c>
      <c r="F12" s="458"/>
      <c r="G12" s="458"/>
      <c r="H12" s="458"/>
      <c r="I12" s="458"/>
      <c r="J12" s="459"/>
      <c r="K12" s="437"/>
      <c r="L12" s="18"/>
      <c r="M12" s="138"/>
    </row>
    <row r="13" spans="2:13" ht="16.5" customHeight="1" x14ac:dyDescent="0.2">
      <c r="B13" s="138"/>
      <c r="C13" s="17"/>
      <c r="D13" s="437"/>
      <c r="E13" s="442"/>
      <c r="F13" s="443"/>
      <c r="G13" s="443"/>
      <c r="H13" s="443"/>
      <c r="I13" s="443"/>
      <c r="J13" s="444"/>
      <c r="K13" s="437"/>
      <c r="L13" s="18"/>
      <c r="M13" s="138"/>
    </row>
    <row r="14" spans="2:13" ht="9.9499999999999993" customHeight="1" x14ac:dyDescent="0.2">
      <c r="B14" s="138"/>
      <c r="C14" s="17"/>
      <c r="D14" s="437"/>
      <c r="E14" s="446" t="s">
        <v>220</v>
      </c>
      <c r="F14" s="456"/>
      <c r="G14" s="60" t="s">
        <v>218</v>
      </c>
      <c r="H14" s="446" t="s">
        <v>298</v>
      </c>
      <c r="I14" s="448"/>
      <c r="J14" s="470"/>
      <c r="K14" s="437"/>
      <c r="L14" s="18"/>
      <c r="M14" s="138"/>
    </row>
    <row r="15" spans="2:13" ht="16.5" customHeight="1" x14ac:dyDescent="0.2">
      <c r="B15" s="138"/>
      <c r="C15" s="17"/>
      <c r="D15" s="437"/>
      <c r="E15" s="471" t="str">
        <f>A_Blankett!$D$49</f>
        <v>Kristoffer Toivanen</v>
      </c>
      <c r="F15" s="455"/>
      <c r="G15" s="179" t="str">
        <f ca="1">A_Blankett!$F$23</f>
        <v/>
      </c>
      <c r="H15" s="778"/>
      <c r="I15" s="779"/>
      <c r="J15" s="780"/>
      <c r="K15" s="437"/>
      <c r="L15" s="18"/>
      <c r="M15" s="138"/>
    </row>
    <row r="16" spans="2:13" ht="9.9499999999999993" customHeight="1" x14ac:dyDescent="0.2">
      <c r="B16" s="138"/>
      <c r="C16" s="17"/>
      <c r="D16" s="437"/>
      <c r="E16" s="446" t="s">
        <v>47</v>
      </c>
      <c r="F16" s="447"/>
      <c r="G16" s="36" t="s">
        <v>334</v>
      </c>
      <c r="H16" s="151" t="s">
        <v>349</v>
      </c>
      <c r="I16" s="35"/>
      <c r="J16" s="154" t="s">
        <v>348</v>
      </c>
      <c r="K16" s="437"/>
      <c r="L16" s="18"/>
      <c r="M16" s="138"/>
    </row>
    <row r="17" spans="2:13" ht="16.5" customHeight="1" x14ac:dyDescent="0.2">
      <c r="B17" s="138"/>
      <c r="C17" s="17"/>
      <c r="D17" s="437"/>
      <c r="E17" s="471" t="str">
        <f>A_Blankett!$D$51</f>
        <v>KrÅs AB</v>
      </c>
      <c r="F17" s="474"/>
      <c r="G17" s="153" t="str">
        <f>A_Blankett!$J$53</f>
        <v>K</v>
      </c>
      <c r="H17" s="471" t="str">
        <f>A_Blankett!$D$53</f>
        <v>RISE</v>
      </c>
      <c r="I17" s="454"/>
      <c r="J17" s="152" t="str">
        <f>A_Blankett!$F$53</f>
        <v>C004798</v>
      </c>
      <c r="K17" s="437"/>
      <c r="L17" s="18"/>
      <c r="M17" s="138"/>
    </row>
    <row r="18" spans="2:13" ht="11.25" customHeight="1" x14ac:dyDescent="0.2">
      <c r="B18" s="138"/>
      <c r="C18" s="17"/>
      <c r="D18" s="437"/>
      <c r="E18" s="460"/>
      <c r="F18" s="460"/>
      <c r="G18" s="460"/>
      <c r="H18" s="460"/>
      <c r="I18" s="460"/>
      <c r="J18" s="460"/>
      <c r="K18" s="437"/>
      <c r="L18" s="18"/>
      <c r="M18" s="138"/>
    </row>
    <row r="19" spans="2:13" ht="14.1" customHeight="1" x14ac:dyDescent="0.2">
      <c r="B19" s="138"/>
      <c r="C19" s="17"/>
      <c r="D19" s="437"/>
      <c r="E19" s="445" t="s">
        <v>332</v>
      </c>
      <c r="F19" s="445"/>
      <c r="G19" s="445"/>
      <c r="H19" s="445"/>
      <c r="I19" s="445"/>
      <c r="J19" s="445"/>
      <c r="K19" s="437"/>
      <c r="L19" s="18"/>
      <c r="M19" s="138"/>
    </row>
    <row r="20" spans="2:13" ht="13.5" customHeight="1" x14ac:dyDescent="0.2">
      <c r="B20" s="138"/>
      <c r="C20" s="17"/>
      <c r="D20" s="437"/>
      <c r="E20" s="461" t="s">
        <v>228</v>
      </c>
      <c r="F20" s="462"/>
      <c r="G20" s="462"/>
      <c r="H20" s="462"/>
      <c r="I20" s="462"/>
      <c r="J20" s="463"/>
      <c r="K20" s="437"/>
      <c r="L20" s="18"/>
      <c r="M20" s="138"/>
    </row>
    <row r="21" spans="2:13" ht="15" customHeight="1" x14ac:dyDescent="0.2">
      <c r="B21" s="138"/>
      <c r="C21" s="17"/>
      <c r="D21" s="437"/>
      <c r="E21" s="464"/>
      <c r="F21" s="465"/>
      <c r="G21" s="465"/>
      <c r="H21" s="465"/>
      <c r="I21" s="465"/>
      <c r="J21" s="466"/>
      <c r="K21" s="437"/>
      <c r="L21" s="18"/>
      <c r="M21" s="138"/>
    </row>
    <row r="22" spans="2:13" ht="14.1" customHeight="1" x14ac:dyDescent="0.2">
      <c r="B22" s="138"/>
      <c r="C22" s="17"/>
      <c r="D22" s="437"/>
      <c r="E22" s="464"/>
      <c r="F22" s="465"/>
      <c r="G22" s="465"/>
      <c r="H22" s="465"/>
      <c r="I22" s="465"/>
      <c r="J22" s="466"/>
      <c r="K22" s="437"/>
      <c r="L22" s="18"/>
      <c r="M22" s="138"/>
    </row>
    <row r="23" spans="2:13" ht="15" customHeight="1" x14ac:dyDescent="0.2">
      <c r="B23" s="138"/>
      <c r="C23" s="17"/>
      <c r="D23" s="437"/>
      <c r="E23" s="467"/>
      <c r="F23" s="468"/>
      <c r="G23" s="468"/>
      <c r="H23" s="468"/>
      <c r="I23" s="468"/>
      <c r="J23" s="469"/>
      <c r="K23" s="437"/>
      <c r="L23" s="18"/>
      <c r="M23" s="138"/>
    </row>
    <row r="24" spans="2:13" ht="12" customHeight="1" x14ac:dyDescent="0.2">
      <c r="B24" s="138"/>
      <c r="C24" s="19"/>
      <c r="D24" s="20"/>
      <c r="E24" s="20"/>
      <c r="F24" s="20"/>
      <c r="G24" s="20"/>
      <c r="H24" s="20"/>
      <c r="I24" s="20"/>
      <c r="J24" s="20"/>
      <c r="K24" s="20"/>
      <c r="L24" s="21"/>
      <c r="M24" s="138"/>
    </row>
    <row r="25" spans="2:13" x14ac:dyDescent="0.2">
      <c r="B25" s="138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</row>
  </sheetData>
  <sheetProtection selectLockedCells="1"/>
  <mergeCells count="24">
    <mergeCell ref="K4:K23"/>
    <mergeCell ref="E5:J5"/>
    <mergeCell ref="E6:J6"/>
    <mergeCell ref="E7:J7"/>
    <mergeCell ref="H14:J14"/>
    <mergeCell ref="H9:J9"/>
    <mergeCell ref="H17:I17"/>
    <mergeCell ref="E12:J12"/>
    <mergeCell ref="G4:J4"/>
    <mergeCell ref="E16:F16"/>
    <mergeCell ref="E9:G9"/>
    <mergeCell ref="E8:G8"/>
    <mergeCell ref="H8:J8"/>
    <mergeCell ref="E14:F14"/>
    <mergeCell ref="E15:F15"/>
    <mergeCell ref="D4:D23"/>
    <mergeCell ref="E10:J10"/>
    <mergeCell ref="E18:J18"/>
    <mergeCell ref="E19:J19"/>
    <mergeCell ref="E17:F17"/>
    <mergeCell ref="E4:F4"/>
    <mergeCell ref="E13:J13"/>
    <mergeCell ref="H15:J15"/>
    <mergeCell ref="E20:J23"/>
  </mergeCells>
  <phoneticPr fontId="0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3" fitToHeight="0" orientation="portrait" r:id="rId1"/>
  <headerFooter alignWithMargins="0">
    <oddFooter>&amp;L&amp;8FunkiS&amp;R&amp;8v 1.1</oddFooter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20">
    <pageSetUpPr autoPageBreaks="0"/>
  </sheetPr>
  <dimension ref="A1:AR129"/>
  <sheetViews>
    <sheetView showGridLines="0" showRowColHeaders="0" topLeftCell="A19" zoomScaleNormal="75" zoomScaleSheetLayoutView="100" workbookViewId="0">
      <selection activeCell="D5" sqref="D5"/>
    </sheetView>
  </sheetViews>
  <sheetFormatPr defaultColWidth="8.85546875" defaultRowHeight="12.75" x14ac:dyDescent="0.2"/>
  <cols>
    <col min="1" max="1" width="9.85546875" customWidth="1"/>
    <col min="2" max="2" width="2.42578125" customWidth="1"/>
    <col min="3" max="3" width="1.42578125" customWidth="1"/>
    <col min="5" max="5" width="9.42578125" customWidth="1"/>
    <col min="12" max="12" width="5.85546875" customWidth="1"/>
    <col min="13" max="13" width="3.42578125" customWidth="1"/>
    <col min="14" max="14" width="1.42578125" customWidth="1"/>
    <col min="24" max="24" width="2.140625" customWidth="1"/>
  </cols>
  <sheetData>
    <row r="1" spans="1:44" ht="8.4499999999999993" customHeight="1" x14ac:dyDescent="0.2">
      <c r="A1" s="38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</row>
    <row r="2" spans="1:44" ht="8.4499999999999993" customHeight="1" x14ac:dyDescent="0.2">
      <c r="A2" s="38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</row>
    <row r="3" spans="1:44" ht="11.25" customHeight="1" x14ac:dyDescent="0.2">
      <c r="A3" s="38"/>
      <c r="B3" s="139" t="s">
        <v>189</v>
      </c>
      <c r="C3" s="136"/>
      <c r="D3" s="139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6"/>
      <c r="W3" s="136"/>
      <c r="X3" s="136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</row>
    <row r="4" spans="1:44" ht="11.25" customHeight="1" x14ac:dyDescent="0.2">
      <c r="A4" s="38"/>
      <c r="B4" s="139"/>
      <c r="D4" s="1"/>
      <c r="X4" s="3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</row>
    <row r="5" spans="1:44" ht="11.25" customHeight="1" x14ac:dyDescent="0.2">
      <c r="A5" s="38"/>
      <c r="B5" s="139"/>
      <c r="D5" s="1"/>
      <c r="X5" s="3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</row>
    <row r="6" spans="1:44" x14ac:dyDescent="0.2">
      <c r="A6" s="38"/>
      <c r="B6" s="136"/>
      <c r="X6" s="3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</row>
    <row r="7" spans="1:44" x14ac:dyDescent="0.2">
      <c r="A7" s="38"/>
      <c r="B7" s="136"/>
      <c r="X7" s="3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</row>
    <row r="8" spans="1:44" x14ac:dyDescent="0.2">
      <c r="A8" s="38"/>
      <c r="B8" s="136"/>
      <c r="X8" s="3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</row>
    <row r="9" spans="1:44" ht="15.75" x14ac:dyDescent="0.25">
      <c r="A9" s="38"/>
      <c r="B9" s="136"/>
      <c r="D9" s="76" t="s">
        <v>55</v>
      </c>
      <c r="O9" s="79">
        <v>3</v>
      </c>
      <c r="P9" s="56" t="s">
        <v>56</v>
      </c>
      <c r="X9" s="3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</row>
    <row r="10" spans="1:44" x14ac:dyDescent="0.2">
      <c r="A10" s="38"/>
      <c r="B10" s="136"/>
      <c r="X10" s="3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</row>
    <row r="11" spans="1:44" x14ac:dyDescent="0.2">
      <c r="A11" s="38"/>
      <c r="B11" s="136"/>
      <c r="O11" t="s">
        <v>57</v>
      </c>
      <c r="P11" t="s">
        <v>58</v>
      </c>
      <c r="X11" s="3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</row>
    <row r="12" spans="1:44" x14ac:dyDescent="0.2">
      <c r="A12" s="38"/>
      <c r="B12" s="136"/>
      <c r="P12" t="s">
        <v>59</v>
      </c>
      <c r="X12" s="3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</row>
    <row r="13" spans="1:44" x14ac:dyDescent="0.2">
      <c r="A13" s="38"/>
      <c r="B13" s="136"/>
      <c r="P13" t="s">
        <v>60</v>
      </c>
      <c r="X13" s="3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</row>
    <row r="14" spans="1:44" x14ac:dyDescent="0.2">
      <c r="A14" s="38"/>
      <c r="B14" s="136"/>
      <c r="D14" t="s">
        <v>61</v>
      </c>
      <c r="P14" t="s">
        <v>62</v>
      </c>
      <c r="X14" s="3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</row>
    <row r="15" spans="1:44" x14ac:dyDescent="0.2">
      <c r="A15" s="38"/>
      <c r="B15" s="136"/>
      <c r="P15" t="s">
        <v>63</v>
      </c>
      <c r="X15" s="3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</row>
    <row r="16" spans="1:44" x14ac:dyDescent="0.2">
      <c r="A16" s="38"/>
      <c r="B16" s="136"/>
      <c r="D16" t="s">
        <v>64</v>
      </c>
      <c r="X16" s="3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</row>
    <row r="17" spans="1:44" x14ac:dyDescent="0.2">
      <c r="A17" s="38"/>
      <c r="B17" s="136"/>
      <c r="D17" t="s">
        <v>65</v>
      </c>
      <c r="O17" t="s">
        <v>66</v>
      </c>
      <c r="P17" t="s">
        <v>67</v>
      </c>
      <c r="X17" s="3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</row>
    <row r="18" spans="1:44" x14ac:dyDescent="0.2">
      <c r="A18" s="38"/>
      <c r="B18" s="136"/>
      <c r="D18" t="s">
        <v>68</v>
      </c>
      <c r="O18" s="2"/>
      <c r="P18" t="s">
        <v>69</v>
      </c>
      <c r="X18" s="3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</row>
    <row r="19" spans="1:44" x14ac:dyDescent="0.2">
      <c r="A19" s="38"/>
      <c r="B19" s="136"/>
      <c r="D19" s="2" t="s">
        <v>70</v>
      </c>
      <c r="X19" s="3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</row>
    <row r="20" spans="1:44" x14ac:dyDescent="0.2">
      <c r="A20" s="38"/>
      <c r="B20" s="136"/>
      <c r="O20" t="s">
        <v>71</v>
      </c>
      <c r="P20" t="s">
        <v>72</v>
      </c>
      <c r="X20" s="3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</row>
    <row r="21" spans="1:44" x14ac:dyDescent="0.2">
      <c r="A21" s="38"/>
      <c r="B21" s="136"/>
      <c r="P21" t="s">
        <v>69</v>
      </c>
      <c r="X21" s="3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</row>
    <row r="22" spans="1:44" ht="15.75" x14ac:dyDescent="0.25">
      <c r="A22" s="38"/>
      <c r="B22" s="136"/>
      <c r="D22" s="79">
        <v>1</v>
      </c>
      <c r="E22" s="1" t="s">
        <v>73</v>
      </c>
      <c r="X22" s="3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</row>
    <row r="23" spans="1:44" x14ac:dyDescent="0.2">
      <c r="A23" s="38"/>
      <c r="B23" s="136"/>
      <c r="O23" t="s">
        <v>74</v>
      </c>
      <c r="P23" t="s">
        <v>75</v>
      </c>
      <c r="X23" s="3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</row>
    <row r="24" spans="1:44" x14ac:dyDescent="0.2">
      <c r="A24" s="38"/>
      <c r="B24" s="136"/>
      <c r="P24" t="s">
        <v>69</v>
      </c>
      <c r="X24" s="3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</row>
    <row r="25" spans="1:44" x14ac:dyDescent="0.2">
      <c r="A25" s="38"/>
      <c r="B25" s="136"/>
      <c r="D25" t="s">
        <v>76</v>
      </c>
      <c r="E25" t="s">
        <v>77</v>
      </c>
      <c r="X25" s="3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</row>
    <row r="26" spans="1:44" x14ac:dyDescent="0.2">
      <c r="A26" s="38"/>
      <c r="B26" s="136"/>
      <c r="E26" t="s">
        <v>78</v>
      </c>
      <c r="O26" t="s">
        <v>79</v>
      </c>
      <c r="P26" t="s">
        <v>80</v>
      </c>
      <c r="X26" s="3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</row>
    <row r="27" spans="1:44" x14ac:dyDescent="0.2">
      <c r="A27" s="38"/>
      <c r="B27" s="136"/>
      <c r="E27" t="s">
        <v>81</v>
      </c>
      <c r="P27" t="s">
        <v>69</v>
      </c>
      <c r="X27" s="3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</row>
    <row r="28" spans="1:44" x14ac:dyDescent="0.2">
      <c r="A28" s="38"/>
      <c r="B28" s="136"/>
      <c r="X28" s="3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</row>
    <row r="29" spans="1:44" x14ac:dyDescent="0.2">
      <c r="A29" s="38"/>
      <c r="B29" s="136"/>
      <c r="O29" t="s">
        <v>82</v>
      </c>
      <c r="P29" t="s">
        <v>83</v>
      </c>
      <c r="X29" s="3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</row>
    <row r="30" spans="1:44" x14ac:dyDescent="0.2">
      <c r="A30" s="38"/>
      <c r="B30" s="136"/>
      <c r="D30" t="s">
        <v>84</v>
      </c>
      <c r="E30" t="s">
        <v>85</v>
      </c>
      <c r="P30" t="s">
        <v>86</v>
      </c>
      <c r="X30" s="3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</row>
    <row r="31" spans="1:44" x14ac:dyDescent="0.2">
      <c r="A31" s="38"/>
      <c r="B31" s="136"/>
      <c r="E31" t="s">
        <v>87</v>
      </c>
      <c r="P31" t="s">
        <v>88</v>
      </c>
      <c r="X31" s="3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</row>
    <row r="32" spans="1:44" x14ac:dyDescent="0.2">
      <c r="A32" s="38"/>
      <c r="B32" s="136"/>
      <c r="E32" t="s">
        <v>89</v>
      </c>
      <c r="P32" t="s">
        <v>90</v>
      </c>
      <c r="X32" s="3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</row>
    <row r="33" spans="1:44" x14ac:dyDescent="0.2">
      <c r="A33" s="38"/>
      <c r="B33" s="136"/>
      <c r="E33" t="s">
        <v>91</v>
      </c>
      <c r="P33" t="s">
        <v>92</v>
      </c>
      <c r="X33" s="3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</row>
    <row r="34" spans="1:44" x14ac:dyDescent="0.2">
      <c r="A34" s="38"/>
      <c r="B34" s="136"/>
      <c r="E34" t="s">
        <v>93</v>
      </c>
      <c r="P34" t="s">
        <v>94</v>
      </c>
      <c r="X34" s="3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</row>
    <row r="35" spans="1:44" x14ac:dyDescent="0.2">
      <c r="A35" s="38"/>
      <c r="B35" s="136"/>
      <c r="P35" s="58" t="s">
        <v>212</v>
      </c>
      <c r="X35" s="3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</row>
    <row r="36" spans="1:44" x14ac:dyDescent="0.2">
      <c r="A36" s="38"/>
      <c r="B36" s="136"/>
      <c r="P36" t="s">
        <v>213</v>
      </c>
      <c r="X36" s="3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</row>
    <row r="37" spans="1:44" x14ac:dyDescent="0.2">
      <c r="A37" s="38"/>
      <c r="B37" s="136"/>
      <c r="D37" t="s">
        <v>95</v>
      </c>
      <c r="E37" t="s">
        <v>96</v>
      </c>
      <c r="X37" s="3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</row>
    <row r="38" spans="1:44" x14ac:dyDescent="0.2">
      <c r="A38" s="38"/>
      <c r="B38" s="136"/>
      <c r="E38" t="s">
        <v>97</v>
      </c>
      <c r="O38" t="s">
        <v>98</v>
      </c>
      <c r="P38" t="s">
        <v>99</v>
      </c>
      <c r="X38" s="3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</row>
    <row r="39" spans="1:44" x14ac:dyDescent="0.2">
      <c r="A39" s="38"/>
      <c r="B39" s="136"/>
      <c r="E39" t="s">
        <v>100</v>
      </c>
      <c r="P39" t="s">
        <v>101</v>
      </c>
      <c r="X39" s="3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</row>
    <row r="40" spans="1:44" x14ac:dyDescent="0.2">
      <c r="A40" s="38"/>
      <c r="B40" s="136"/>
      <c r="P40" t="s">
        <v>102</v>
      </c>
      <c r="X40" s="3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</row>
    <row r="41" spans="1:44" x14ac:dyDescent="0.2">
      <c r="A41" s="38"/>
      <c r="B41" s="136"/>
      <c r="O41" s="1"/>
      <c r="P41" t="s">
        <v>103</v>
      </c>
      <c r="X41" s="3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</row>
    <row r="42" spans="1:44" x14ac:dyDescent="0.2">
      <c r="A42" s="38"/>
      <c r="B42" s="136"/>
      <c r="D42" t="s">
        <v>104</v>
      </c>
      <c r="E42" t="s">
        <v>105</v>
      </c>
      <c r="P42" t="s">
        <v>106</v>
      </c>
      <c r="X42" s="3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</row>
    <row r="43" spans="1:44" x14ac:dyDescent="0.2">
      <c r="A43" s="38"/>
      <c r="B43" s="136"/>
      <c r="E43" t="s">
        <v>214</v>
      </c>
      <c r="X43" s="3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</row>
    <row r="44" spans="1:44" x14ac:dyDescent="0.2">
      <c r="A44" s="38"/>
      <c r="B44" s="136"/>
      <c r="E44" t="s">
        <v>215</v>
      </c>
      <c r="O44" t="s">
        <v>107</v>
      </c>
      <c r="P44" t="s">
        <v>108</v>
      </c>
      <c r="X44" s="3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</row>
    <row r="45" spans="1:44" x14ac:dyDescent="0.2">
      <c r="A45" s="38"/>
      <c r="B45" s="136"/>
      <c r="P45" t="s">
        <v>109</v>
      </c>
      <c r="X45" s="3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</row>
    <row r="46" spans="1:44" x14ac:dyDescent="0.2">
      <c r="A46" s="38"/>
      <c r="B46" s="136"/>
      <c r="P46" t="s">
        <v>110</v>
      </c>
      <c r="X46" s="3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</row>
    <row r="47" spans="1:44" x14ac:dyDescent="0.2">
      <c r="A47" s="38"/>
      <c r="B47" s="136"/>
      <c r="D47" s="2" t="s">
        <v>111</v>
      </c>
      <c r="E47" s="2" t="s">
        <v>112</v>
      </c>
      <c r="X47" s="3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</row>
    <row r="48" spans="1:44" x14ac:dyDescent="0.2">
      <c r="A48" s="38"/>
      <c r="B48" s="136"/>
      <c r="E48" t="s">
        <v>113</v>
      </c>
      <c r="O48" t="s">
        <v>114</v>
      </c>
      <c r="P48" t="s">
        <v>115</v>
      </c>
      <c r="X48" s="3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</row>
    <row r="49" spans="1:44" x14ac:dyDescent="0.2">
      <c r="A49" s="38"/>
      <c r="B49" s="136"/>
      <c r="P49" t="s">
        <v>116</v>
      </c>
      <c r="X49" s="3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</row>
    <row r="50" spans="1:44" x14ac:dyDescent="0.2">
      <c r="A50" s="38"/>
      <c r="B50" s="136"/>
      <c r="P50" t="s">
        <v>117</v>
      </c>
      <c r="X50" s="3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</row>
    <row r="51" spans="1:44" x14ac:dyDescent="0.2">
      <c r="A51" s="38"/>
      <c r="B51" s="136"/>
      <c r="P51" t="s">
        <v>118</v>
      </c>
      <c r="X51" s="3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44" x14ac:dyDescent="0.2">
      <c r="A52" s="38"/>
      <c r="B52" s="136"/>
      <c r="P52" t="s">
        <v>119</v>
      </c>
      <c r="X52" s="3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44" x14ac:dyDescent="0.2">
      <c r="A53" s="38"/>
      <c r="B53" s="136"/>
      <c r="X53" s="3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</row>
    <row r="54" spans="1:44" x14ac:dyDescent="0.2">
      <c r="A54" s="38"/>
      <c r="B54" s="136"/>
      <c r="O54" t="s">
        <v>120</v>
      </c>
      <c r="P54" t="s">
        <v>112</v>
      </c>
      <c r="X54" s="3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</row>
    <row r="55" spans="1:44" x14ac:dyDescent="0.2">
      <c r="A55" s="38"/>
      <c r="B55" s="136"/>
      <c r="P55" t="s">
        <v>121</v>
      </c>
      <c r="X55" s="3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</row>
    <row r="56" spans="1:44" x14ac:dyDescent="0.2">
      <c r="A56" s="38"/>
      <c r="B56" s="136"/>
      <c r="P56" t="s">
        <v>122</v>
      </c>
      <c r="X56" s="3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</row>
    <row r="57" spans="1:44" x14ac:dyDescent="0.2">
      <c r="A57" s="38"/>
      <c r="B57" s="136"/>
      <c r="X57" s="3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</row>
    <row r="58" spans="1:44" x14ac:dyDescent="0.2">
      <c r="A58" s="38"/>
      <c r="B58" s="136"/>
      <c r="X58" s="3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44" x14ac:dyDescent="0.2">
      <c r="A59" s="38"/>
      <c r="B59" s="136"/>
      <c r="D59" s="4"/>
      <c r="O59" s="4"/>
      <c r="X59" s="3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44" x14ac:dyDescent="0.2">
      <c r="A60" s="38"/>
      <c r="B60" s="136"/>
      <c r="X60" s="3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44" x14ac:dyDescent="0.2">
      <c r="A61" s="38"/>
      <c r="B61" s="136"/>
      <c r="X61" s="3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44" x14ac:dyDescent="0.2">
      <c r="A62" s="38"/>
      <c r="B62" s="136"/>
      <c r="X62" s="3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44" x14ac:dyDescent="0.2">
      <c r="A63" s="38"/>
      <c r="B63" s="136"/>
      <c r="X63" s="3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44" x14ac:dyDescent="0.2">
      <c r="A64" s="38"/>
      <c r="B64" s="136"/>
      <c r="X64" s="3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1:44" x14ac:dyDescent="0.2">
      <c r="A65" s="38"/>
      <c r="B65" s="136"/>
      <c r="X65" s="3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1:44" x14ac:dyDescent="0.2">
      <c r="A66" s="38"/>
      <c r="B66" s="136"/>
      <c r="X66" s="3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1:44" ht="15.75" x14ac:dyDescent="0.25">
      <c r="A67" s="38"/>
      <c r="B67" s="136"/>
      <c r="D67" s="79" t="s">
        <v>123</v>
      </c>
      <c r="E67" s="1" t="s">
        <v>124</v>
      </c>
      <c r="O67" s="76" t="s">
        <v>125</v>
      </c>
      <c r="P67" s="1" t="s">
        <v>126</v>
      </c>
      <c r="X67" s="3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1:44" x14ac:dyDescent="0.2">
      <c r="A68" s="38"/>
      <c r="B68" s="136"/>
      <c r="X68" s="3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1:44" x14ac:dyDescent="0.2">
      <c r="A69" s="38"/>
      <c r="B69" s="136"/>
      <c r="X69" s="3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1:44" x14ac:dyDescent="0.2">
      <c r="A70" s="38"/>
      <c r="B70" s="136"/>
      <c r="D70" t="s">
        <v>127</v>
      </c>
      <c r="E70" t="s">
        <v>128</v>
      </c>
      <c r="O70" t="s">
        <v>129</v>
      </c>
      <c r="P70" t="s">
        <v>130</v>
      </c>
      <c r="X70" s="3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1:44" x14ac:dyDescent="0.2">
      <c r="A71" s="38"/>
      <c r="B71" s="136"/>
      <c r="E71" t="s">
        <v>131</v>
      </c>
      <c r="P71" t="s">
        <v>132</v>
      </c>
      <c r="X71" s="3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1:44" x14ac:dyDescent="0.2">
      <c r="A72" s="38"/>
      <c r="B72" s="136"/>
      <c r="P72" t="s">
        <v>133</v>
      </c>
      <c r="X72" s="3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1:44" x14ac:dyDescent="0.2">
      <c r="A73" s="38"/>
      <c r="B73" s="136"/>
      <c r="D73" t="s">
        <v>134</v>
      </c>
      <c r="E73" t="s">
        <v>58</v>
      </c>
      <c r="P73" t="s">
        <v>135</v>
      </c>
      <c r="X73" s="3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1:44" x14ac:dyDescent="0.2">
      <c r="A74" s="38"/>
      <c r="B74" s="136"/>
      <c r="D74" s="2"/>
      <c r="E74" t="s">
        <v>136</v>
      </c>
      <c r="P74" t="s">
        <v>137</v>
      </c>
      <c r="X74" s="3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</row>
    <row r="75" spans="1:44" x14ac:dyDescent="0.2">
      <c r="A75" s="38"/>
      <c r="B75" s="136"/>
      <c r="E75" t="s">
        <v>138</v>
      </c>
      <c r="O75" s="2"/>
      <c r="P75" t="s">
        <v>139</v>
      </c>
      <c r="X75" s="3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</row>
    <row r="76" spans="1:44" x14ac:dyDescent="0.2">
      <c r="A76" s="38"/>
      <c r="B76" s="136"/>
      <c r="E76" t="s">
        <v>140</v>
      </c>
      <c r="X76" s="3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1:44" x14ac:dyDescent="0.2">
      <c r="A77" s="38"/>
      <c r="B77" s="136"/>
      <c r="E77" t="s">
        <v>141</v>
      </c>
      <c r="O77" t="s">
        <v>142</v>
      </c>
      <c r="P77" t="s">
        <v>143</v>
      </c>
      <c r="X77" s="3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1:44" x14ac:dyDescent="0.2">
      <c r="A78" s="38"/>
      <c r="B78" s="136"/>
      <c r="P78" t="s">
        <v>144</v>
      </c>
      <c r="X78" s="3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1:44" x14ac:dyDescent="0.2">
      <c r="A79" s="38"/>
      <c r="B79" s="3"/>
      <c r="D79" t="s">
        <v>145</v>
      </c>
      <c r="E79" t="s">
        <v>146</v>
      </c>
      <c r="P79" t="s">
        <v>147</v>
      </c>
      <c r="X79" s="3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1:44" x14ac:dyDescent="0.2">
      <c r="A80" s="38"/>
      <c r="B80" s="3"/>
      <c r="E80" t="s">
        <v>148</v>
      </c>
      <c r="O80" s="1"/>
      <c r="X80" s="3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</row>
    <row r="81" spans="1:44" x14ac:dyDescent="0.2">
      <c r="A81" s="38"/>
      <c r="B81" s="3"/>
      <c r="O81" t="s">
        <v>149</v>
      </c>
      <c r="P81" t="s">
        <v>150</v>
      </c>
      <c r="X81" s="3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</row>
    <row r="82" spans="1:44" x14ac:dyDescent="0.2">
      <c r="A82" s="38"/>
      <c r="B82" s="3"/>
      <c r="D82" t="s">
        <v>151</v>
      </c>
      <c r="E82" t="s">
        <v>152</v>
      </c>
      <c r="P82" t="s">
        <v>153</v>
      </c>
      <c r="X82" s="3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  <c r="AR82" s="30"/>
    </row>
    <row r="83" spans="1:44" x14ac:dyDescent="0.2">
      <c r="A83" s="38"/>
      <c r="B83" s="3"/>
      <c r="E83" t="s">
        <v>154</v>
      </c>
      <c r="X83" s="3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30"/>
    </row>
    <row r="84" spans="1:44" x14ac:dyDescent="0.2">
      <c r="A84" s="38"/>
      <c r="B84" s="3"/>
      <c r="O84" t="s">
        <v>155</v>
      </c>
      <c r="P84" t="s">
        <v>156</v>
      </c>
      <c r="X84" s="3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</row>
    <row r="85" spans="1:44" x14ac:dyDescent="0.2">
      <c r="A85" s="38"/>
      <c r="B85" s="3"/>
      <c r="D85" t="s">
        <v>157</v>
      </c>
      <c r="E85" t="s">
        <v>158</v>
      </c>
      <c r="P85" t="s">
        <v>159</v>
      </c>
      <c r="X85" s="3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30"/>
    </row>
    <row r="86" spans="1:44" x14ac:dyDescent="0.2">
      <c r="A86" s="38"/>
      <c r="B86" s="3"/>
      <c r="E86" t="s">
        <v>160</v>
      </c>
      <c r="P86" t="s">
        <v>161</v>
      </c>
      <c r="X86" s="3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30"/>
    </row>
    <row r="87" spans="1:44" x14ac:dyDescent="0.2">
      <c r="A87" s="38"/>
      <c r="B87" s="3"/>
      <c r="X87" s="3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</row>
    <row r="88" spans="1:44" x14ac:dyDescent="0.2">
      <c r="A88" s="38"/>
      <c r="B88" s="3"/>
      <c r="D88" t="s">
        <v>162</v>
      </c>
      <c r="E88" t="s">
        <v>108</v>
      </c>
      <c r="O88" t="s">
        <v>163</v>
      </c>
      <c r="P88" t="s">
        <v>164</v>
      </c>
      <c r="X88" s="3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30"/>
    </row>
    <row r="89" spans="1:44" x14ac:dyDescent="0.2">
      <c r="A89" s="38"/>
      <c r="B89" s="3"/>
      <c r="E89" t="s">
        <v>165</v>
      </c>
      <c r="P89" t="s">
        <v>166</v>
      </c>
      <c r="X89" s="3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</row>
    <row r="90" spans="1:44" x14ac:dyDescent="0.2">
      <c r="A90" s="38"/>
      <c r="B90" s="3"/>
      <c r="E90" t="s">
        <v>167</v>
      </c>
      <c r="F90" t="s">
        <v>168</v>
      </c>
      <c r="X90" s="3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0"/>
    </row>
    <row r="91" spans="1:44" x14ac:dyDescent="0.2">
      <c r="A91" s="38"/>
      <c r="B91" s="3"/>
      <c r="E91" t="s">
        <v>169</v>
      </c>
      <c r="O91" t="s">
        <v>170</v>
      </c>
      <c r="P91" t="s">
        <v>112</v>
      </c>
      <c r="X91" s="3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30"/>
    </row>
    <row r="92" spans="1:44" x14ac:dyDescent="0.2">
      <c r="A92" s="38"/>
      <c r="B92" s="3"/>
      <c r="E92" t="s">
        <v>171</v>
      </c>
      <c r="P92" t="s">
        <v>172</v>
      </c>
      <c r="X92" s="3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</row>
    <row r="93" spans="1:44" x14ac:dyDescent="0.2">
      <c r="A93" s="38"/>
      <c r="B93" s="3"/>
      <c r="E93" t="s">
        <v>173</v>
      </c>
      <c r="X93" s="3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</row>
    <row r="94" spans="1:44" x14ac:dyDescent="0.2">
      <c r="A94" s="38"/>
      <c r="B94" s="3"/>
      <c r="X94" s="3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</row>
    <row r="95" spans="1:44" x14ac:dyDescent="0.2">
      <c r="A95" s="38"/>
      <c r="B95" s="3"/>
      <c r="D95" t="s">
        <v>174</v>
      </c>
      <c r="E95" t="s">
        <v>115</v>
      </c>
      <c r="X95" s="3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</row>
    <row r="96" spans="1:44" x14ac:dyDescent="0.2">
      <c r="A96" s="38"/>
      <c r="B96" s="3"/>
      <c r="E96" t="s">
        <v>175</v>
      </c>
      <c r="X96" s="3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0"/>
    </row>
    <row r="97" spans="1:44" x14ac:dyDescent="0.2">
      <c r="A97" s="38"/>
      <c r="B97" s="3"/>
      <c r="X97" s="3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30"/>
    </row>
    <row r="98" spans="1:44" x14ac:dyDescent="0.2">
      <c r="A98" s="38"/>
      <c r="B98" s="3"/>
      <c r="D98" s="2" t="s">
        <v>176</v>
      </c>
      <c r="E98" t="s">
        <v>177</v>
      </c>
      <c r="X98" s="3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30"/>
    </row>
    <row r="99" spans="1:44" x14ac:dyDescent="0.2">
      <c r="A99" s="38"/>
      <c r="B99" s="3"/>
      <c r="E99" t="s">
        <v>178</v>
      </c>
      <c r="O99" s="1"/>
      <c r="X99" s="3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30"/>
    </row>
    <row r="100" spans="1:44" x14ac:dyDescent="0.2">
      <c r="A100" s="38"/>
      <c r="B100" s="3"/>
      <c r="E100" t="s">
        <v>179</v>
      </c>
      <c r="X100" s="3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30"/>
    </row>
    <row r="101" spans="1:44" x14ac:dyDescent="0.2">
      <c r="A101" s="30"/>
      <c r="B101" s="3"/>
      <c r="E101" t="s">
        <v>180</v>
      </c>
      <c r="X101" s="3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30"/>
    </row>
    <row r="102" spans="1:44" x14ac:dyDescent="0.2">
      <c r="A102" s="30"/>
      <c r="B102" s="3"/>
      <c r="E102" t="s">
        <v>181</v>
      </c>
      <c r="X102" s="3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30"/>
    </row>
    <row r="103" spans="1:44" x14ac:dyDescent="0.2">
      <c r="A103" s="30"/>
      <c r="B103" s="3"/>
      <c r="E103" t="s">
        <v>216</v>
      </c>
      <c r="X103" s="3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  <c r="AR103" s="30"/>
    </row>
    <row r="104" spans="1:44" x14ac:dyDescent="0.2">
      <c r="A104" s="30"/>
      <c r="B104" s="3"/>
      <c r="X104" s="3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30"/>
    </row>
    <row r="105" spans="1:44" x14ac:dyDescent="0.2">
      <c r="A105" s="30"/>
      <c r="B105" s="3"/>
      <c r="D105" t="s">
        <v>182</v>
      </c>
      <c r="E105" t="s">
        <v>183</v>
      </c>
      <c r="X105" s="3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30"/>
    </row>
    <row r="106" spans="1:44" x14ac:dyDescent="0.2">
      <c r="A106" s="30"/>
      <c r="B106" s="3"/>
      <c r="D106" s="2"/>
      <c r="E106" t="s">
        <v>217</v>
      </c>
      <c r="O106" s="1"/>
      <c r="X106" s="3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30"/>
    </row>
    <row r="107" spans="1:44" x14ac:dyDescent="0.2">
      <c r="A107" s="30"/>
      <c r="B107" s="3"/>
      <c r="E107" t="s">
        <v>184</v>
      </c>
      <c r="X107" s="3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30"/>
    </row>
    <row r="108" spans="1:44" x14ac:dyDescent="0.2">
      <c r="A108" s="30"/>
      <c r="B108" s="3"/>
      <c r="E108" t="s">
        <v>185</v>
      </c>
      <c r="X108" s="3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30"/>
    </row>
    <row r="109" spans="1:44" x14ac:dyDescent="0.2">
      <c r="A109" s="30"/>
      <c r="B109" s="3"/>
      <c r="E109" t="s">
        <v>186</v>
      </c>
      <c r="X109" s="3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  <c r="AQ109" s="30"/>
      <c r="AR109" s="30"/>
    </row>
    <row r="110" spans="1:44" x14ac:dyDescent="0.2">
      <c r="A110" s="30"/>
      <c r="B110" s="3"/>
      <c r="X110" s="3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</row>
    <row r="111" spans="1:44" x14ac:dyDescent="0.2">
      <c r="A111" s="30"/>
      <c r="B111" s="3"/>
      <c r="D111" t="s">
        <v>187</v>
      </c>
      <c r="E111" t="s">
        <v>112</v>
      </c>
      <c r="X111" s="3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30"/>
    </row>
    <row r="112" spans="1:44" x14ac:dyDescent="0.2">
      <c r="A112" s="30"/>
      <c r="B112" s="3"/>
      <c r="E112" t="s">
        <v>188</v>
      </c>
      <c r="X112" s="3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30"/>
    </row>
    <row r="113" spans="1:44" x14ac:dyDescent="0.2">
      <c r="A113" s="30"/>
      <c r="B113" s="3"/>
      <c r="X113" s="3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</row>
    <row r="114" spans="1:44" x14ac:dyDescent="0.2">
      <c r="A114" s="30"/>
      <c r="B114" s="3"/>
      <c r="X114" s="3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30"/>
    </row>
    <row r="115" spans="1:44" x14ac:dyDescent="0.2">
      <c r="A115" s="30"/>
      <c r="B115" s="3"/>
      <c r="D115" s="4"/>
      <c r="O115" s="4"/>
      <c r="X115" s="3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P115" s="30"/>
      <c r="AQ115" s="30"/>
      <c r="AR115" s="30"/>
    </row>
    <row r="116" spans="1:44" ht="11.25" customHeight="1" x14ac:dyDescent="0.2">
      <c r="A116" s="30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30"/>
    </row>
    <row r="117" spans="1:44" x14ac:dyDescent="0.2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30"/>
    </row>
    <row r="118" spans="1:44" x14ac:dyDescent="0.2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  <c r="AP118" s="30"/>
      <c r="AQ118" s="30"/>
      <c r="AR118" s="30"/>
    </row>
    <row r="119" spans="1:44" x14ac:dyDescent="0.2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0"/>
    </row>
    <row r="120" spans="1:44" x14ac:dyDescent="0.2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</row>
    <row r="121" spans="1:44" x14ac:dyDescent="0.2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44" x14ac:dyDescent="0.2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44" x14ac:dyDescent="0.2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44" x14ac:dyDescent="0.2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44" x14ac:dyDescent="0.2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44" x14ac:dyDescent="0.2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44" x14ac:dyDescent="0.2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44" x14ac:dyDescent="0.2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1:44" x14ac:dyDescent="0.2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</sheetData>
  <sheetProtection password="ECA6" sheet="1" objects="1" scenarios="1"/>
  <phoneticPr fontId="0" type="noConversion"/>
  <printOptions horizontalCentered="1" verticalCentered="1"/>
  <pageMargins left="0.39370078740157483" right="0.31" top="0.19685039370078741" bottom="0.33" header="0.35433070866141736" footer="0.28000000000000003"/>
  <pageSetup paperSize="9" orientation="portrait" r:id="rId1"/>
  <headerFooter alignWithMargins="0">
    <oddFooter>&amp;L&amp;8FunkiS&amp;R&amp;8v 1.1</oddFooter>
  </headerFooter>
  <rowBreaks count="1" manualBreakCount="1">
    <brk id="64" min="2" max="22" man="1"/>
  </rowBreaks>
  <colBreaks count="1" manualBreakCount="1">
    <brk id="13" min="3" max="114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23">
    <pageSetUpPr autoPageBreaks="0"/>
  </sheetPr>
  <dimension ref="A1:AO196"/>
  <sheetViews>
    <sheetView showGridLines="0" showRowColHeaders="0" zoomScaleNormal="100" zoomScaleSheetLayoutView="100" workbookViewId="0">
      <selection activeCell="P21" sqref="P21"/>
    </sheetView>
  </sheetViews>
  <sheetFormatPr defaultColWidth="8.85546875" defaultRowHeight="12.75" x14ac:dyDescent="0.2"/>
  <cols>
    <col min="1" max="1" width="9.42578125" customWidth="1"/>
    <col min="2" max="2" width="2.42578125" customWidth="1"/>
    <col min="3" max="3" width="1.42578125" customWidth="1"/>
    <col min="12" max="12" width="9" customWidth="1"/>
    <col min="14" max="14" width="2.42578125" customWidth="1"/>
  </cols>
  <sheetData>
    <row r="1" spans="1:41" ht="8.4499999999999993" customHeight="1" x14ac:dyDescent="0.2">
      <c r="A1" s="38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</row>
    <row r="2" spans="1:41" ht="8.4499999999999993" customHeight="1" x14ac:dyDescent="0.2">
      <c r="A2" s="38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</row>
    <row r="3" spans="1:41" ht="11.25" customHeight="1" x14ac:dyDescent="0.2">
      <c r="A3" s="38"/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</row>
    <row r="4" spans="1:41" ht="11.25" customHeight="1" x14ac:dyDescent="0.2">
      <c r="A4" s="38"/>
      <c r="B4" s="136"/>
      <c r="N4" s="136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</row>
    <row r="5" spans="1:41" ht="18" customHeight="1" x14ac:dyDescent="0.25">
      <c r="A5" s="38"/>
      <c r="B5" s="136"/>
      <c r="D5" s="40" t="s">
        <v>437</v>
      </c>
      <c r="E5" s="2"/>
      <c r="F5" s="2"/>
      <c r="G5" s="2"/>
      <c r="H5" s="2"/>
      <c r="I5" s="2"/>
      <c r="J5" s="2"/>
      <c r="K5" s="2"/>
      <c r="L5" s="2"/>
      <c r="N5" s="136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41" ht="15.95" customHeight="1" x14ac:dyDescent="0.2">
      <c r="A6" s="38"/>
      <c r="B6" s="136"/>
      <c r="D6" s="2"/>
      <c r="E6" s="2"/>
      <c r="F6" s="2"/>
      <c r="G6" s="2"/>
      <c r="H6" s="2"/>
      <c r="I6" s="2"/>
      <c r="J6" s="2"/>
      <c r="K6" s="2"/>
      <c r="L6" s="2"/>
      <c r="N6" s="136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</row>
    <row r="7" spans="1:41" ht="15.95" customHeight="1" x14ac:dyDescent="0.2">
      <c r="A7" s="38"/>
      <c r="B7" s="136"/>
      <c r="D7" s="2" t="s">
        <v>438</v>
      </c>
      <c r="E7" s="2"/>
      <c r="F7" s="2"/>
      <c r="G7" s="2"/>
      <c r="H7" s="2"/>
      <c r="I7" s="2"/>
      <c r="J7" s="2"/>
      <c r="K7" s="2"/>
      <c r="L7" s="2"/>
      <c r="N7" s="136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</row>
    <row r="8" spans="1:41" ht="15.95" customHeight="1" x14ac:dyDescent="0.2">
      <c r="A8" s="38"/>
      <c r="B8" s="136"/>
      <c r="D8" s="2" t="s">
        <v>439</v>
      </c>
      <c r="E8" s="2"/>
      <c r="F8" s="2"/>
      <c r="G8" s="2"/>
      <c r="H8" s="2"/>
      <c r="I8" s="2"/>
      <c r="J8" s="2"/>
      <c r="K8" s="2"/>
      <c r="L8" s="2"/>
      <c r="N8" s="136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</row>
    <row r="9" spans="1:41" x14ac:dyDescent="0.2">
      <c r="A9" s="38"/>
      <c r="B9" s="136"/>
      <c r="D9" s="2"/>
      <c r="E9" s="2"/>
      <c r="F9" s="2"/>
      <c r="G9" s="2"/>
      <c r="H9" s="2"/>
      <c r="I9" s="2"/>
      <c r="J9" s="2"/>
      <c r="K9" s="2"/>
      <c r="L9" s="2"/>
      <c r="N9" s="136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</row>
    <row r="10" spans="1:41" ht="15.95" customHeight="1" x14ac:dyDescent="0.2">
      <c r="A10" s="38"/>
      <c r="B10" s="136"/>
      <c r="D10" s="5">
        <v>1</v>
      </c>
      <c r="E10" s="2" t="s">
        <v>440</v>
      </c>
      <c r="F10" s="2"/>
      <c r="G10" s="2"/>
      <c r="H10" s="2"/>
      <c r="I10" s="2"/>
      <c r="J10" s="2"/>
      <c r="K10" s="2"/>
      <c r="L10" s="2"/>
      <c r="N10" s="136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</row>
    <row r="11" spans="1:41" ht="17.100000000000001" customHeight="1" x14ac:dyDescent="0.2">
      <c r="A11" s="38"/>
      <c r="B11" s="136"/>
      <c r="D11" s="5">
        <v>2</v>
      </c>
      <c r="E11" s="2" t="s">
        <v>441</v>
      </c>
      <c r="F11" s="2"/>
      <c r="G11" s="2"/>
      <c r="H11" s="2"/>
      <c r="I11" s="2"/>
      <c r="J11" s="2"/>
      <c r="K11" s="2"/>
      <c r="L11" s="2"/>
      <c r="N11" s="136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</row>
    <row r="12" spans="1:41" ht="17.100000000000001" customHeight="1" x14ac:dyDescent="0.2">
      <c r="A12" s="38"/>
      <c r="B12" s="136"/>
      <c r="D12" s="5"/>
      <c r="E12" s="2" t="s">
        <v>442</v>
      </c>
      <c r="F12" s="2"/>
      <c r="G12" s="2"/>
      <c r="H12" s="2"/>
      <c r="I12" s="2"/>
      <c r="J12" s="2"/>
      <c r="K12" s="2"/>
      <c r="L12" s="2"/>
      <c r="N12" s="136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</row>
    <row r="13" spans="1:41" ht="17.100000000000001" customHeight="1" x14ac:dyDescent="0.2">
      <c r="A13" s="38"/>
      <c r="B13" s="136"/>
      <c r="D13" s="5"/>
      <c r="E13" s="2" t="s">
        <v>443</v>
      </c>
      <c r="F13" s="2"/>
      <c r="G13" s="2"/>
      <c r="H13" s="2"/>
      <c r="I13" s="2"/>
      <c r="J13" s="2"/>
      <c r="K13" s="2"/>
      <c r="L13" s="2"/>
      <c r="N13" s="136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</row>
    <row r="14" spans="1:41" ht="17.100000000000001" customHeight="1" x14ac:dyDescent="0.2">
      <c r="A14" s="38"/>
      <c r="B14" s="136"/>
      <c r="D14" s="5">
        <v>3</v>
      </c>
      <c r="E14" s="2" t="s">
        <v>444</v>
      </c>
      <c r="F14" s="2"/>
      <c r="G14" s="2"/>
      <c r="H14" s="2"/>
      <c r="I14" s="2"/>
      <c r="J14" s="2"/>
      <c r="K14" s="2"/>
      <c r="L14" s="2"/>
      <c r="N14" s="136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</row>
    <row r="15" spans="1:41" ht="17.100000000000001" customHeight="1" x14ac:dyDescent="0.2">
      <c r="A15" s="38"/>
      <c r="B15" s="136"/>
      <c r="D15" s="5">
        <v>4</v>
      </c>
      <c r="E15" s="2" t="s">
        <v>445</v>
      </c>
      <c r="F15" s="2"/>
      <c r="G15" s="2"/>
      <c r="H15" s="2"/>
      <c r="I15" s="2"/>
      <c r="J15" s="2"/>
      <c r="K15" s="2"/>
      <c r="L15" s="2"/>
      <c r="N15" s="136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</row>
    <row r="16" spans="1:41" ht="17.100000000000001" customHeight="1" x14ac:dyDescent="0.2">
      <c r="A16" s="38"/>
      <c r="B16" s="136"/>
      <c r="D16" s="5">
        <v>5</v>
      </c>
      <c r="E16" s="2" t="s">
        <v>446</v>
      </c>
      <c r="N16" s="136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</row>
    <row r="17" spans="1:41" ht="17.100000000000001" customHeight="1" x14ac:dyDescent="0.2">
      <c r="A17" s="38"/>
      <c r="B17" s="136"/>
      <c r="N17" s="136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</row>
    <row r="18" spans="1:41" ht="17.100000000000001" customHeight="1" x14ac:dyDescent="0.2">
      <c r="A18" s="38"/>
      <c r="B18" s="136"/>
      <c r="D18" t="s">
        <v>447</v>
      </c>
      <c r="N18" s="136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</row>
    <row r="19" spans="1:41" ht="17.100000000000001" customHeight="1" x14ac:dyDescent="0.2">
      <c r="A19" s="38"/>
      <c r="B19" s="136"/>
      <c r="D19" s="5">
        <v>6</v>
      </c>
      <c r="E19" t="s">
        <v>448</v>
      </c>
      <c r="N19" s="136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</row>
    <row r="20" spans="1:41" ht="17.100000000000001" customHeight="1" x14ac:dyDescent="0.2">
      <c r="A20" s="38"/>
      <c r="B20" s="136"/>
      <c r="D20" s="5">
        <v>7</v>
      </c>
      <c r="E20" t="s">
        <v>449</v>
      </c>
      <c r="N20" s="136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</row>
    <row r="21" spans="1:41" ht="17.100000000000001" customHeight="1" x14ac:dyDescent="0.2">
      <c r="A21" s="38"/>
      <c r="B21" s="136"/>
      <c r="N21" s="136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</row>
    <row r="22" spans="1:41" ht="17.100000000000001" customHeight="1" x14ac:dyDescent="0.2">
      <c r="A22" s="38"/>
      <c r="B22" s="136"/>
      <c r="D22" t="s">
        <v>450</v>
      </c>
      <c r="N22" s="136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</row>
    <row r="23" spans="1:41" ht="17.100000000000001" customHeight="1" x14ac:dyDescent="0.2">
      <c r="A23" s="38"/>
      <c r="B23" s="136"/>
      <c r="N23" s="136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</row>
    <row r="24" spans="1:41" ht="17.100000000000001" customHeight="1" x14ac:dyDescent="0.25">
      <c r="A24" s="38"/>
      <c r="B24" s="136"/>
      <c r="D24" s="40" t="s">
        <v>451</v>
      </c>
      <c r="N24" s="136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</row>
    <row r="25" spans="1:41" ht="17.100000000000001" customHeight="1" x14ac:dyDescent="0.2">
      <c r="A25" s="38"/>
      <c r="B25" s="136"/>
      <c r="D25" s="1"/>
      <c r="N25" s="136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</row>
    <row r="26" spans="1:41" ht="17.100000000000001" customHeight="1" x14ac:dyDescent="0.2">
      <c r="A26" s="38"/>
      <c r="B26" s="136"/>
      <c r="D26" s="163" t="s">
        <v>529</v>
      </c>
      <c r="E26" s="35"/>
      <c r="F26" s="35"/>
      <c r="G26" s="35"/>
      <c r="H26" s="35"/>
      <c r="I26" s="35"/>
      <c r="J26" s="35"/>
      <c r="K26" s="35"/>
      <c r="L26" s="164"/>
      <c r="N26" s="136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</row>
    <row r="27" spans="1:41" ht="17.100000000000001" customHeight="1" x14ac:dyDescent="0.2">
      <c r="A27" s="38"/>
      <c r="B27" s="136"/>
      <c r="D27" s="165" t="s">
        <v>518</v>
      </c>
      <c r="E27" s="2"/>
      <c r="F27" s="2"/>
      <c r="G27" s="2"/>
      <c r="H27" s="2"/>
      <c r="I27" s="2"/>
      <c r="L27" s="135"/>
      <c r="N27" s="136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</row>
    <row r="28" spans="1:41" ht="17.100000000000001" customHeight="1" x14ac:dyDescent="0.2">
      <c r="A28" s="38"/>
      <c r="B28" s="136"/>
      <c r="D28" s="166" t="s">
        <v>452</v>
      </c>
      <c r="E28" s="167"/>
      <c r="F28" s="167"/>
      <c r="G28" s="167"/>
      <c r="H28" s="167"/>
      <c r="I28" s="167"/>
      <c r="J28" s="50"/>
      <c r="K28" s="50"/>
      <c r="L28" s="51"/>
      <c r="N28" s="136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</row>
    <row r="29" spans="1:41" ht="17.100000000000001" customHeight="1" x14ac:dyDescent="0.2">
      <c r="A29" s="38"/>
      <c r="B29" s="136"/>
      <c r="D29" s="1"/>
      <c r="N29" s="136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</row>
    <row r="30" spans="1:41" ht="17.100000000000001" customHeight="1" x14ac:dyDescent="0.2">
      <c r="A30" s="38"/>
      <c r="B30" s="136"/>
      <c r="D30" s="163" t="s">
        <v>453</v>
      </c>
      <c r="E30" s="35"/>
      <c r="F30" s="35"/>
      <c r="G30" s="35"/>
      <c r="H30" s="35"/>
      <c r="I30" s="35"/>
      <c r="J30" s="35"/>
      <c r="K30" s="35"/>
      <c r="L30" s="164"/>
      <c r="N30" s="136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</row>
    <row r="31" spans="1:41" ht="17.100000000000001" customHeight="1" x14ac:dyDescent="0.2">
      <c r="A31" s="38"/>
      <c r="B31" s="136"/>
      <c r="D31" s="165" t="s">
        <v>454</v>
      </c>
      <c r="L31" s="135"/>
      <c r="N31" s="136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</row>
    <row r="32" spans="1:41" ht="17.100000000000001" customHeight="1" x14ac:dyDescent="0.2">
      <c r="A32" s="38"/>
      <c r="B32" s="136"/>
      <c r="D32" s="165" t="s">
        <v>455</v>
      </c>
      <c r="L32" s="135"/>
      <c r="N32" s="136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</row>
    <row r="33" spans="1:41" ht="17.100000000000001" customHeight="1" x14ac:dyDescent="0.2">
      <c r="A33" s="38"/>
      <c r="B33" s="136"/>
      <c r="D33" s="165" t="s">
        <v>524</v>
      </c>
      <c r="L33" s="135"/>
      <c r="N33" s="136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</row>
    <row r="34" spans="1:41" ht="17.100000000000001" customHeight="1" x14ac:dyDescent="0.2">
      <c r="A34" s="38"/>
      <c r="B34" s="136"/>
      <c r="D34" s="165" t="s">
        <v>456</v>
      </c>
      <c r="L34" s="135"/>
      <c r="N34" s="136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</row>
    <row r="35" spans="1:41" ht="17.100000000000001" customHeight="1" x14ac:dyDescent="0.2">
      <c r="A35" s="38"/>
      <c r="B35" s="136"/>
      <c r="D35" s="166" t="s">
        <v>457</v>
      </c>
      <c r="E35" s="50"/>
      <c r="F35" s="50"/>
      <c r="G35" s="50"/>
      <c r="H35" s="50"/>
      <c r="I35" s="50"/>
      <c r="J35" s="50"/>
      <c r="K35" s="50"/>
      <c r="L35" s="51"/>
      <c r="N35" s="136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</row>
    <row r="36" spans="1:41" ht="17.100000000000001" customHeight="1" x14ac:dyDescent="0.2">
      <c r="A36" s="38"/>
      <c r="B36" s="136"/>
      <c r="D36" s="2"/>
      <c r="N36" s="136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</row>
    <row r="37" spans="1:41" ht="17.100000000000001" customHeight="1" x14ac:dyDescent="0.2">
      <c r="A37" s="38"/>
      <c r="B37" s="136"/>
      <c r="D37" s="163" t="s">
        <v>458</v>
      </c>
      <c r="E37" s="35"/>
      <c r="F37" s="35"/>
      <c r="G37" s="35"/>
      <c r="H37" s="35"/>
      <c r="I37" s="35"/>
      <c r="J37" s="35"/>
      <c r="K37" s="35"/>
      <c r="L37" s="164"/>
      <c r="N37" s="136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</row>
    <row r="38" spans="1:41" ht="17.100000000000001" customHeight="1" x14ac:dyDescent="0.2">
      <c r="A38" s="38"/>
      <c r="B38" s="136"/>
      <c r="D38" s="165" t="s">
        <v>459</v>
      </c>
      <c r="L38" s="135"/>
      <c r="N38" s="136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</row>
    <row r="39" spans="1:41" ht="17.100000000000001" customHeight="1" x14ac:dyDescent="0.2">
      <c r="A39" s="38"/>
      <c r="B39" s="136"/>
      <c r="D39" s="165" t="s">
        <v>460</v>
      </c>
      <c r="L39" s="135"/>
      <c r="N39" s="136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</row>
    <row r="40" spans="1:41" ht="17.100000000000001" customHeight="1" x14ac:dyDescent="0.2">
      <c r="A40" s="38"/>
      <c r="B40" s="136"/>
      <c r="D40" s="166" t="s">
        <v>515</v>
      </c>
      <c r="E40" s="50"/>
      <c r="F40" s="50"/>
      <c r="G40" s="50"/>
      <c r="H40" s="50"/>
      <c r="I40" s="50"/>
      <c r="J40" s="50"/>
      <c r="K40" s="50"/>
      <c r="L40" s="51"/>
      <c r="N40" s="136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</row>
    <row r="41" spans="1:41" ht="17.100000000000001" customHeight="1" x14ac:dyDescent="0.2">
      <c r="A41" s="38"/>
      <c r="B41" s="136"/>
      <c r="D41" s="2"/>
      <c r="N41" s="136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</row>
    <row r="42" spans="1:41" ht="17.100000000000001" customHeight="1" x14ac:dyDescent="0.2">
      <c r="A42" s="38"/>
      <c r="B42" s="136"/>
      <c r="D42" s="163" t="s">
        <v>461</v>
      </c>
      <c r="E42" s="35"/>
      <c r="F42" s="35"/>
      <c r="G42" s="35"/>
      <c r="H42" s="35"/>
      <c r="I42" s="35"/>
      <c r="J42" s="35"/>
      <c r="K42" s="35"/>
      <c r="L42" s="164"/>
      <c r="N42" s="136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</row>
    <row r="43" spans="1:41" ht="17.100000000000001" customHeight="1" x14ac:dyDescent="0.2">
      <c r="A43" s="38"/>
      <c r="B43" s="136"/>
      <c r="D43" s="165" t="s">
        <v>462</v>
      </c>
      <c r="L43" s="135"/>
      <c r="N43" s="136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</row>
    <row r="44" spans="1:41" ht="17.100000000000001" customHeight="1" x14ac:dyDescent="0.2">
      <c r="A44" s="38"/>
      <c r="B44" s="136"/>
      <c r="D44" s="165" t="s">
        <v>463</v>
      </c>
      <c r="L44" s="135"/>
      <c r="N44" s="136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</row>
    <row r="45" spans="1:41" ht="17.100000000000001" customHeight="1" x14ac:dyDescent="0.2">
      <c r="A45" s="38"/>
      <c r="B45" s="136"/>
      <c r="D45" s="166" t="s">
        <v>464</v>
      </c>
      <c r="E45" s="50"/>
      <c r="F45" s="50"/>
      <c r="G45" s="50"/>
      <c r="H45" s="50"/>
      <c r="I45" s="50"/>
      <c r="J45" s="50"/>
      <c r="K45" s="50"/>
      <c r="L45" s="51"/>
      <c r="N45" s="136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</row>
    <row r="46" spans="1:41" ht="15.95" customHeight="1" x14ac:dyDescent="0.2">
      <c r="A46" s="38"/>
      <c r="B46" s="136"/>
      <c r="D46" s="2"/>
      <c r="N46" s="136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</row>
    <row r="47" spans="1:41" ht="15.95" customHeight="1" x14ac:dyDescent="0.2">
      <c r="A47" s="38"/>
      <c r="B47" s="136"/>
      <c r="D47" s="163" t="s">
        <v>465</v>
      </c>
      <c r="E47" s="35"/>
      <c r="F47" s="35"/>
      <c r="G47" s="35"/>
      <c r="H47" s="35"/>
      <c r="I47" s="35"/>
      <c r="J47" s="35"/>
      <c r="K47" s="35"/>
      <c r="L47" s="164"/>
      <c r="N47" s="136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</row>
    <row r="48" spans="1:41" x14ac:dyDescent="0.2">
      <c r="A48" s="38"/>
      <c r="B48" s="136"/>
      <c r="D48" s="168" t="s">
        <v>466</v>
      </c>
      <c r="L48" s="135"/>
      <c r="N48" s="136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</row>
    <row r="49" spans="1:41" x14ac:dyDescent="0.2">
      <c r="A49" s="38"/>
      <c r="B49" s="136"/>
      <c r="D49" s="168"/>
      <c r="L49" s="135"/>
      <c r="N49" s="136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</row>
    <row r="50" spans="1:41" x14ac:dyDescent="0.2">
      <c r="A50" s="38"/>
      <c r="B50" s="136"/>
      <c r="D50" s="171" t="s">
        <v>467</v>
      </c>
      <c r="L50" s="135"/>
      <c r="N50" s="136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</row>
    <row r="51" spans="1:41" x14ac:dyDescent="0.2">
      <c r="A51" s="38"/>
      <c r="B51" s="136"/>
      <c r="D51" s="168" t="s">
        <v>468</v>
      </c>
      <c r="L51" s="135"/>
      <c r="N51" s="136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</row>
    <row r="52" spans="1:41" x14ac:dyDescent="0.2">
      <c r="A52" s="38"/>
      <c r="B52" s="136"/>
      <c r="D52" s="168"/>
      <c r="L52" s="135"/>
      <c r="N52" s="136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</row>
    <row r="53" spans="1:41" x14ac:dyDescent="0.2">
      <c r="A53" s="38"/>
      <c r="B53" s="136"/>
      <c r="D53" s="172" t="s">
        <v>514</v>
      </c>
      <c r="L53" s="135"/>
      <c r="N53" s="136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</row>
    <row r="54" spans="1:41" x14ac:dyDescent="0.2">
      <c r="A54" s="38"/>
      <c r="B54" s="136"/>
      <c r="D54" s="169" t="s">
        <v>469</v>
      </c>
      <c r="E54" s="50"/>
      <c r="F54" s="50"/>
      <c r="G54" s="50"/>
      <c r="H54" s="50"/>
      <c r="I54" s="50"/>
      <c r="J54" s="50"/>
      <c r="K54" s="50"/>
      <c r="L54" s="51"/>
      <c r="N54" s="136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</row>
    <row r="55" spans="1:41" x14ac:dyDescent="0.2">
      <c r="A55" s="38"/>
      <c r="B55" s="136"/>
      <c r="N55" s="136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</row>
    <row r="56" spans="1:41" x14ac:dyDescent="0.2">
      <c r="A56" s="38"/>
      <c r="B56" s="136"/>
      <c r="D56" s="163" t="s">
        <v>470</v>
      </c>
      <c r="E56" s="35"/>
      <c r="F56" s="35"/>
      <c r="G56" s="35"/>
      <c r="H56" s="35"/>
      <c r="I56" s="35"/>
      <c r="J56" s="35"/>
      <c r="K56" s="35"/>
      <c r="L56" s="164"/>
      <c r="N56" s="136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</row>
    <row r="57" spans="1:41" x14ac:dyDescent="0.2">
      <c r="A57" s="38"/>
      <c r="B57" s="136"/>
      <c r="D57" s="169" t="s">
        <v>525</v>
      </c>
      <c r="E57" s="50"/>
      <c r="F57" s="50"/>
      <c r="G57" s="50"/>
      <c r="H57" s="50"/>
      <c r="I57" s="50"/>
      <c r="J57" s="50"/>
      <c r="K57" s="50"/>
      <c r="L57" s="51"/>
      <c r="N57" s="136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</row>
    <row r="58" spans="1:41" x14ac:dyDescent="0.2">
      <c r="A58" s="38"/>
      <c r="B58" s="136"/>
      <c r="N58" s="136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</row>
    <row r="59" spans="1:41" x14ac:dyDescent="0.2">
      <c r="A59" s="38"/>
      <c r="B59" s="136"/>
      <c r="D59" s="163" t="s">
        <v>45</v>
      </c>
      <c r="E59" s="35"/>
      <c r="F59" s="35"/>
      <c r="G59" s="35"/>
      <c r="H59" s="35"/>
      <c r="I59" s="35"/>
      <c r="J59" s="35"/>
      <c r="K59" s="35"/>
      <c r="L59" s="164"/>
      <c r="N59" s="136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</row>
    <row r="60" spans="1:41" x14ac:dyDescent="0.2">
      <c r="A60" s="38"/>
      <c r="B60" s="136"/>
      <c r="D60" s="168" t="s">
        <v>471</v>
      </c>
      <c r="L60" s="135"/>
      <c r="N60" s="136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</row>
    <row r="61" spans="1:41" x14ac:dyDescent="0.2">
      <c r="A61" s="38"/>
      <c r="B61" s="136"/>
      <c r="D61" s="168" t="s">
        <v>472</v>
      </c>
      <c r="L61" s="135"/>
      <c r="N61" s="136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</row>
    <row r="62" spans="1:41" x14ac:dyDescent="0.2">
      <c r="A62" s="38"/>
      <c r="B62" s="136"/>
      <c r="D62" s="168" t="s">
        <v>473</v>
      </c>
      <c r="L62" s="135"/>
      <c r="N62" s="136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</row>
    <row r="63" spans="1:41" x14ac:dyDescent="0.2">
      <c r="A63" s="38"/>
      <c r="B63" s="136"/>
      <c r="D63" s="168" t="s">
        <v>517</v>
      </c>
      <c r="L63" s="135"/>
      <c r="N63" s="136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</row>
    <row r="64" spans="1:41" x14ac:dyDescent="0.2">
      <c r="A64" s="38"/>
      <c r="B64" s="136"/>
      <c r="D64" s="169" t="s">
        <v>516</v>
      </c>
      <c r="E64" s="50"/>
      <c r="F64" s="50"/>
      <c r="G64" s="50"/>
      <c r="H64" s="50"/>
      <c r="I64" s="50"/>
      <c r="J64" s="50"/>
      <c r="K64" s="50"/>
      <c r="L64" s="51"/>
      <c r="N64" s="136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</row>
    <row r="65" spans="1:41" x14ac:dyDescent="0.2">
      <c r="A65" s="38"/>
      <c r="B65" s="136"/>
      <c r="N65" s="136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</row>
    <row r="66" spans="1:41" ht="18" x14ac:dyDescent="0.25">
      <c r="A66" s="38"/>
      <c r="B66" s="136"/>
      <c r="D66" s="40" t="s">
        <v>474</v>
      </c>
      <c r="N66" s="136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</row>
    <row r="67" spans="1:41" x14ac:dyDescent="0.2">
      <c r="A67" s="38"/>
      <c r="B67" s="136"/>
      <c r="D67" s="2" t="s">
        <v>475</v>
      </c>
      <c r="N67" s="136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</row>
    <row r="68" spans="1:41" x14ac:dyDescent="0.2">
      <c r="A68" s="38"/>
      <c r="B68" s="136"/>
      <c r="N68" s="136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</row>
    <row r="69" spans="1:41" x14ac:dyDescent="0.2">
      <c r="A69" s="38"/>
      <c r="B69" s="136"/>
      <c r="D69" s="1" t="s">
        <v>476</v>
      </c>
      <c r="N69" s="136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</row>
    <row r="70" spans="1:41" x14ac:dyDescent="0.2">
      <c r="A70" s="38"/>
      <c r="B70" s="136"/>
      <c r="D70" s="2" t="s">
        <v>477</v>
      </c>
      <c r="N70" s="136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</row>
    <row r="71" spans="1:41" x14ac:dyDescent="0.2">
      <c r="A71" s="38"/>
      <c r="B71" s="136"/>
      <c r="D71" t="s">
        <v>336</v>
      </c>
      <c r="N71" s="136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</row>
    <row r="72" spans="1:41" x14ac:dyDescent="0.2">
      <c r="A72" s="38"/>
      <c r="B72" s="136"/>
      <c r="D72" t="s">
        <v>478</v>
      </c>
      <c r="N72" s="136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</row>
    <row r="73" spans="1:41" x14ac:dyDescent="0.2">
      <c r="A73" s="38"/>
      <c r="B73" s="136"/>
      <c r="D73" t="s">
        <v>211</v>
      </c>
      <c r="N73" s="136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</row>
    <row r="74" spans="1:41" x14ac:dyDescent="0.2">
      <c r="A74" s="38"/>
      <c r="B74" s="136"/>
      <c r="D74" s="44"/>
      <c r="N74" s="136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</row>
    <row r="75" spans="1:41" x14ac:dyDescent="0.2">
      <c r="A75" s="38"/>
      <c r="B75" s="136"/>
      <c r="D75" s="56" t="s">
        <v>479</v>
      </c>
      <c r="N75" s="136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</row>
    <row r="76" spans="1:41" x14ac:dyDescent="0.2">
      <c r="A76" s="38"/>
      <c r="B76" s="136"/>
      <c r="D76" s="170" t="s">
        <v>480</v>
      </c>
      <c r="N76" s="136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</row>
    <row r="77" spans="1:41" x14ac:dyDescent="0.2">
      <c r="A77" s="38"/>
      <c r="B77" s="136"/>
      <c r="D77" s="2" t="s">
        <v>481</v>
      </c>
      <c r="N77" s="136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</row>
    <row r="78" spans="1:41" x14ac:dyDescent="0.2">
      <c r="A78" s="38"/>
      <c r="B78" s="136"/>
      <c r="D78" s="44"/>
      <c r="N78" s="136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</row>
    <row r="79" spans="1:41" x14ac:dyDescent="0.2">
      <c r="A79" s="38"/>
      <c r="B79" s="136"/>
      <c r="D79" s="1" t="s">
        <v>482</v>
      </c>
      <c r="N79" s="136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</row>
    <row r="80" spans="1:41" x14ac:dyDescent="0.2">
      <c r="A80" s="38"/>
      <c r="B80" s="136"/>
      <c r="D80" t="s">
        <v>483</v>
      </c>
      <c r="N80" s="136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</row>
    <row r="81" spans="1:41" x14ac:dyDescent="0.2">
      <c r="A81" s="38"/>
      <c r="B81" s="136"/>
      <c r="N81" s="136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</row>
    <row r="82" spans="1:41" x14ac:dyDescent="0.2">
      <c r="A82" s="38"/>
      <c r="B82" s="136"/>
      <c r="D82" s="1" t="s">
        <v>352</v>
      </c>
      <c r="N82" s="136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</row>
    <row r="83" spans="1:41" x14ac:dyDescent="0.2">
      <c r="A83" s="38"/>
      <c r="B83" s="136"/>
      <c r="D83" t="s">
        <v>484</v>
      </c>
      <c r="N83" s="136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</row>
    <row r="84" spans="1:41" x14ac:dyDescent="0.2">
      <c r="A84" s="38"/>
      <c r="B84" s="136"/>
      <c r="D84" t="s">
        <v>485</v>
      </c>
      <c r="N84" s="136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</row>
    <row r="85" spans="1:41" x14ac:dyDescent="0.2">
      <c r="A85" s="38"/>
      <c r="B85" s="136"/>
      <c r="D85" t="s">
        <v>486</v>
      </c>
      <c r="N85" s="136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</row>
    <row r="86" spans="1:41" x14ac:dyDescent="0.2">
      <c r="A86" s="30"/>
      <c r="B86" s="136"/>
      <c r="D86" t="s">
        <v>486</v>
      </c>
      <c r="N86" s="136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</row>
    <row r="87" spans="1:41" x14ac:dyDescent="0.2">
      <c r="A87" s="30"/>
      <c r="B87" s="136"/>
      <c r="D87" t="s">
        <v>487</v>
      </c>
      <c r="N87" s="136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</row>
    <row r="88" spans="1:41" x14ac:dyDescent="0.2">
      <c r="A88" s="30"/>
      <c r="B88" s="136"/>
      <c r="D88" t="s">
        <v>488</v>
      </c>
      <c r="N88" s="136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</row>
    <row r="89" spans="1:41" x14ac:dyDescent="0.2">
      <c r="A89" s="30"/>
      <c r="B89" s="136"/>
      <c r="N89" s="136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</row>
    <row r="90" spans="1:41" x14ac:dyDescent="0.2">
      <c r="A90" s="30"/>
      <c r="B90" s="136"/>
      <c r="D90" t="s">
        <v>489</v>
      </c>
      <c r="N90" s="136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</row>
    <row r="91" spans="1:41" x14ac:dyDescent="0.2">
      <c r="A91" s="30"/>
      <c r="B91" s="136"/>
      <c r="D91" t="s">
        <v>490</v>
      </c>
      <c r="N91" s="136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</row>
    <row r="92" spans="1:41" x14ac:dyDescent="0.2">
      <c r="A92" s="30"/>
      <c r="B92" s="136"/>
      <c r="D92" t="s">
        <v>491</v>
      </c>
      <c r="N92" s="136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</row>
    <row r="93" spans="1:41" x14ac:dyDescent="0.2">
      <c r="A93" s="30"/>
      <c r="B93" s="136"/>
      <c r="N93" s="136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</row>
    <row r="94" spans="1:41" x14ac:dyDescent="0.2">
      <c r="A94" s="30"/>
      <c r="B94" s="136"/>
      <c r="D94" t="s">
        <v>492</v>
      </c>
      <c r="N94" s="136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</row>
    <row r="95" spans="1:41" x14ac:dyDescent="0.2">
      <c r="A95" s="30"/>
      <c r="B95" s="136"/>
      <c r="D95" t="s">
        <v>493</v>
      </c>
      <c r="N95" s="136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</row>
    <row r="96" spans="1:41" x14ac:dyDescent="0.2">
      <c r="A96" s="30"/>
      <c r="B96" s="136"/>
      <c r="D96" t="s">
        <v>494</v>
      </c>
      <c r="N96" s="136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</row>
    <row r="97" spans="1:41" x14ac:dyDescent="0.2">
      <c r="A97" s="30"/>
      <c r="B97" s="136"/>
      <c r="N97" s="136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</row>
    <row r="98" spans="1:41" x14ac:dyDescent="0.2">
      <c r="A98" s="30"/>
      <c r="B98" s="136"/>
      <c r="D98" t="s">
        <v>495</v>
      </c>
      <c r="N98" s="136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</row>
    <row r="99" spans="1:41" x14ac:dyDescent="0.2">
      <c r="A99" s="30"/>
      <c r="B99" s="136"/>
      <c r="D99" s="1" t="s">
        <v>482</v>
      </c>
      <c r="N99" s="136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</row>
    <row r="100" spans="1:41" x14ac:dyDescent="0.2">
      <c r="A100" s="30"/>
      <c r="B100" s="136"/>
      <c r="D100" t="s">
        <v>496</v>
      </c>
      <c r="N100" s="136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</row>
    <row r="101" spans="1:41" x14ac:dyDescent="0.2">
      <c r="A101" s="30"/>
      <c r="B101" s="136"/>
      <c r="D101" t="s">
        <v>49</v>
      </c>
      <c r="N101" s="136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</row>
    <row r="102" spans="1:41" x14ac:dyDescent="0.2">
      <c r="A102" s="30"/>
      <c r="B102" s="136"/>
      <c r="D102" t="s">
        <v>50</v>
      </c>
      <c r="N102" s="136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</row>
    <row r="103" spans="1:41" x14ac:dyDescent="0.2">
      <c r="A103" s="30"/>
      <c r="B103" s="136"/>
      <c r="D103" t="s">
        <v>51</v>
      </c>
      <c r="N103" s="136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</row>
    <row r="104" spans="1:41" x14ac:dyDescent="0.2">
      <c r="A104" s="30"/>
      <c r="B104" s="136"/>
      <c r="D104" t="s">
        <v>497</v>
      </c>
      <c r="N104" s="136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</row>
    <row r="105" spans="1:41" x14ac:dyDescent="0.2">
      <c r="A105" s="30"/>
      <c r="B105" s="136"/>
      <c r="N105" s="136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</row>
    <row r="106" spans="1:41" x14ac:dyDescent="0.2">
      <c r="A106" s="30"/>
      <c r="B106" s="136"/>
      <c r="D106" s="1" t="s">
        <v>479</v>
      </c>
      <c r="N106" s="136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</row>
    <row r="107" spans="1:41" x14ac:dyDescent="0.2">
      <c r="A107" s="30"/>
      <c r="B107" s="136"/>
      <c r="D107" t="s">
        <v>52</v>
      </c>
      <c r="N107" s="136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</row>
    <row r="108" spans="1:41" x14ac:dyDescent="0.2">
      <c r="A108" s="30"/>
      <c r="B108" s="136"/>
      <c r="D108" t="s">
        <v>53</v>
      </c>
      <c r="N108" s="136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</row>
    <row r="109" spans="1:41" x14ac:dyDescent="0.2">
      <c r="A109" s="30"/>
      <c r="B109" s="136"/>
      <c r="D109" t="s">
        <v>299</v>
      </c>
      <c r="N109" s="136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</row>
    <row r="110" spans="1:41" x14ac:dyDescent="0.2">
      <c r="A110" s="30"/>
      <c r="B110" s="136"/>
      <c r="D110" t="s">
        <v>54</v>
      </c>
      <c r="N110" s="136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</row>
    <row r="111" spans="1:41" x14ac:dyDescent="0.2">
      <c r="A111" s="30"/>
      <c r="B111" s="136"/>
      <c r="D111" t="s">
        <v>497</v>
      </c>
      <c r="N111" s="136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</row>
    <row r="112" spans="1:41" x14ac:dyDescent="0.2">
      <c r="A112" s="30"/>
      <c r="B112" s="136"/>
      <c r="D112" t="s">
        <v>498</v>
      </c>
      <c r="N112" s="136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</row>
    <row r="113" spans="1:41" x14ac:dyDescent="0.2">
      <c r="A113" s="30"/>
      <c r="B113" s="136"/>
      <c r="N113" s="136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</row>
    <row r="114" spans="1:41" x14ac:dyDescent="0.2">
      <c r="A114" s="30"/>
      <c r="B114" s="136"/>
      <c r="D114" s="1" t="s">
        <v>499</v>
      </c>
      <c r="N114" s="136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</row>
    <row r="115" spans="1:41" x14ac:dyDescent="0.2">
      <c r="A115" s="30"/>
      <c r="B115" s="136"/>
      <c r="D115" t="s">
        <v>500</v>
      </c>
      <c r="N115" s="136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</row>
    <row r="116" spans="1:41" x14ac:dyDescent="0.2">
      <c r="A116" s="30"/>
      <c r="B116" s="136"/>
      <c r="D116" t="s">
        <v>501</v>
      </c>
      <c r="N116" s="136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</row>
    <row r="117" spans="1:41" x14ac:dyDescent="0.2">
      <c r="A117" s="30"/>
      <c r="B117" s="136"/>
      <c r="D117" t="s">
        <v>502</v>
      </c>
      <c r="N117" s="136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</row>
    <row r="118" spans="1:41" x14ac:dyDescent="0.2">
      <c r="A118" s="30"/>
      <c r="B118" s="136"/>
      <c r="N118" s="136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</row>
    <row r="119" spans="1:41" x14ac:dyDescent="0.2">
      <c r="A119" s="30"/>
      <c r="B119" s="136"/>
      <c r="D119" t="s">
        <v>503</v>
      </c>
      <c r="N119" s="136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</row>
    <row r="120" spans="1:41" x14ac:dyDescent="0.2">
      <c r="A120" s="30"/>
      <c r="B120" s="136"/>
      <c r="N120" s="136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</row>
    <row r="121" spans="1:41" x14ac:dyDescent="0.2">
      <c r="A121" s="30"/>
      <c r="B121" s="136"/>
      <c r="D121" s="1" t="s">
        <v>504</v>
      </c>
      <c r="N121" s="136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</row>
    <row r="122" spans="1:41" x14ac:dyDescent="0.2">
      <c r="A122" s="30"/>
      <c r="B122" s="136"/>
      <c r="D122" t="s">
        <v>505</v>
      </c>
      <c r="N122" s="136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</row>
    <row r="123" spans="1:41" x14ac:dyDescent="0.2">
      <c r="A123" s="30"/>
      <c r="B123" s="136"/>
      <c r="N123" s="136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</row>
    <row r="124" spans="1:41" x14ac:dyDescent="0.2">
      <c r="A124" s="30"/>
      <c r="B124" s="136"/>
      <c r="D124" s="1" t="s">
        <v>506</v>
      </c>
      <c r="N124" s="136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</row>
    <row r="125" spans="1:41" x14ac:dyDescent="0.2">
      <c r="A125" s="30"/>
      <c r="B125" s="136"/>
      <c r="D125" t="s">
        <v>507</v>
      </c>
      <c r="N125" s="136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</row>
    <row r="126" spans="1:41" x14ac:dyDescent="0.2">
      <c r="A126" s="30"/>
      <c r="B126" s="136"/>
      <c r="D126" t="s">
        <v>508</v>
      </c>
      <c r="N126" s="136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</row>
    <row r="127" spans="1:41" x14ac:dyDescent="0.2">
      <c r="A127" s="30"/>
      <c r="B127" s="136"/>
      <c r="N127" s="136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</row>
    <row r="128" spans="1:41" x14ac:dyDescent="0.2">
      <c r="A128" s="30"/>
      <c r="B128" s="136"/>
      <c r="D128" s="1" t="s">
        <v>37</v>
      </c>
      <c r="E128" t="s">
        <v>509</v>
      </c>
      <c r="N128" s="136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</row>
    <row r="129" spans="1:41" x14ac:dyDescent="0.2">
      <c r="A129" s="30"/>
      <c r="B129" s="136"/>
      <c r="D129" s="1" t="s">
        <v>205</v>
      </c>
      <c r="E129" t="s">
        <v>510</v>
      </c>
      <c r="N129" s="136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</row>
    <row r="130" spans="1:41" x14ac:dyDescent="0.2">
      <c r="A130" s="30"/>
      <c r="B130" s="136"/>
      <c r="D130" s="1" t="s">
        <v>221</v>
      </c>
      <c r="E130" t="s">
        <v>511</v>
      </c>
      <c r="N130" s="136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</row>
    <row r="131" spans="1:41" x14ac:dyDescent="0.2">
      <c r="A131" s="30"/>
      <c r="B131" s="136"/>
      <c r="N131" s="136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</row>
    <row r="132" spans="1:41" x14ac:dyDescent="0.2">
      <c r="A132" s="30"/>
      <c r="B132" s="136"/>
      <c r="N132" s="136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</row>
    <row r="133" spans="1:41" ht="15.75" x14ac:dyDescent="0.25">
      <c r="A133" s="30"/>
      <c r="B133" s="136"/>
      <c r="D133" s="76" t="s">
        <v>267</v>
      </c>
      <c r="N133" s="136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</row>
    <row r="134" spans="1:41" x14ac:dyDescent="0.2">
      <c r="A134" s="30"/>
      <c r="B134" s="136"/>
      <c r="N134" s="136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</row>
    <row r="135" spans="1:41" x14ac:dyDescent="0.2">
      <c r="A135" s="30"/>
      <c r="B135" s="136"/>
      <c r="D135" t="s">
        <v>512</v>
      </c>
      <c r="N135" s="136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</row>
    <row r="136" spans="1:41" x14ac:dyDescent="0.2">
      <c r="A136" s="30"/>
      <c r="B136" s="136"/>
      <c r="D136" t="s">
        <v>270</v>
      </c>
      <c r="N136" s="136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</row>
    <row r="137" spans="1:41" x14ac:dyDescent="0.2">
      <c r="A137" s="30"/>
      <c r="B137" s="136"/>
      <c r="D137" t="s">
        <v>339</v>
      </c>
      <c r="N137" s="136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</row>
    <row r="138" spans="1:41" x14ac:dyDescent="0.2">
      <c r="A138" s="30"/>
      <c r="B138" s="136"/>
      <c r="D138" t="s">
        <v>522</v>
      </c>
      <c r="N138" s="136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</row>
    <row r="139" spans="1:41" x14ac:dyDescent="0.2">
      <c r="A139" s="30"/>
      <c r="B139" s="136"/>
      <c r="D139" s="2" t="s">
        <v>513</v>
      </c>
      <c r="N139" s="136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</row>
    <row r="140" spans="1:41" x14ac:dyDescent="0.2">
      <c r="A140" s="30"/>
      <c r="B140" s="136"/>
      <c r="N140" s="136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</row>
    <row r="141" spans="1:41" x14ac:dyDescent="0.2">
      <c r="A141" s="30"/>
      <c r="B141" s="136"/>
      <c r="D141" t="s">
        <v>271</v>
      </c>
      <c r="N141" s="136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</row>
    <row r="142" spans="1:41" x14ac:dyDescent="0.2">
      <c r="A142" s="30"/>
      <c r="B142" s="136"/>
      <c r="D142" t="s">
        <v>272</v>
      </c>
      <c r="N142" s="136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</row>
    <row r="143" spans="1:41" x14ac:dyDescent="0.2">
      <c r="A143" s="30"/>
      <c r="B143" s="136"/>
      <c r="D143" t="s">
        <v>273</v>
      </c>
      <c r="N143" s="136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</row>
    <row r="144" spans="1:41" x14ac:dyDescent="0.2">
      <c r="A144" s="30"/>
      <c r="B144" s="136"/>
      <c r="D144" s="77"/>
      <c r="N144" s="136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</row>
    <row r="145" spans="1:41" x14ac:dyDescent="0.2">
      <c r="A145" s="30"/>
      <c r="B145" s="136"/>
      <c r="D145" t="s">
        <v>300</v>
      </c>
      <c r="F145" t="s">
        <v>301</v>
      </c>
      <c r="H145" t="s">
        <v>302</v>
      </c>
      <c r="N145" s="136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</row>
    <row r="146" spans="1:41" x14ac:dyDescent="0.2">
      <c r="A146" s="30"/>
      <c r="B146" s="136"/>
      <c r="N146" s="136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</row>
    <row r="147" spans="1:41" ht="15" x14ac:dyDescent="0.3">
      <c r="A147" s="30"/>
      <c r="B147" s="136"/>
      <c r="F147" t="s">
        <v>314</v>
      </c>
      <c r="H147" s="78" t="s">
        <v>303</v>
      </c>
      <c r="N147" s="136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</row>
    <row r="148" spans="1:41" x14ac:dyDescent="0.2">
      <c r="A148" s="30"/>
      <c r="B148" s="136"/>
      <c r="N148" s="136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</row>
    <row r="149" spans="1:41" ht="15" x14ac:dyDescent="0.3">
      <c r="A149" s="30"/>
      <c r="B149" s="136"/>
      <c r="F149" t="s">
        <v>315</v>
      </c>
      <c r="H149" s="78" t="s">
        <v>313</v>
      </c>
      <c r="N149" s="136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</row>
    <row r="150" spans="1:41" x14ac:dyDescent="0.2">
      <c r="A150" s="30"/>
      <c r="B150" s="136"/>
      <c r="E150" s="77"/>
      <c r="N150" s="136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</row>
    <row r="151" spans="1:41" x14ac:dyDescent="0.2">
      <c r="A151" s="30"/>
      <c r="B151" s="136"/>
      <c r="F151" t="s">
        <v>304</v>
      </c>
      <c r="G151" t="s">
        <v>308</v>
      </c>
      <c r="H151" s="77"/>
      <c r="N151" s="136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</row>
    <row r="152" spans="1:41" x14ac:dyDescent="0.2">
      <c r="A152" s="30"/>
      <c r="B152" s="136"/>
      <c r="F152" t="s">
        <v>305</v>
      </c>
      <c r="G152" t="s">
        <v>309</v>
      </c>
      <c r="N152" s="136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</row>
    <row r="153" spans="1:41" x14ac:dyDescent="0.2">
      <c r="A153" s="30"/>
      <c r="B153" s="136"/>
      <c r="F153" t="s">
        <v>306</v>
      </c>
      <c r="G153" t="s">
        <v>307</v>
      </c>
      <c r="N153" s="136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</row>
    <row r="154" spans="1:41" ht="15" x14ac:dyDescent="0.3">
      <c r="A154" s="30"/>
      <c r="B154" s="136"/>
      <c r="F154" s="78" t="s">
        <v>310</v>
      </c>
      <c r="G154" t="s">
        <v>312</v>
      </c>
      <c r="N154" s="136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</row>
    <row r="155" spans="1:41" x14ac:dyDescent="0.2">
      <c r="A155" s="30"/>
      <c r="B155" s="136"/>
      <c r="D155" s="155"/>
      <c r="E155" s="155"/>
      <c r="F155" s="77" t="s">
        <v>316</v>
      </c>
      <c r="G155" s="173" t="s">
        <v>311</v>
      </c>
      <c r="H155" s="173"/>
      <c r="I155" s="173"/>
      <c r="J155" s="173"/>
      <c r="K155" s="173"/>
      <c r="L155" s="173"/>
      <c r="M155" s="173"/>
      <c r="N155" s="136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</row>
    <row r="156" spans="1:41" x14ac:dyDescent="0.2">
      <c r="A156" s="30"/>
      <c r="B156" s="136"/>
      <c r="D156" s="155"/>
      <c r="E156" s="155"/>
      <c r="F156" s="77"/>
      <c r="G156" s="173"/>
      <c r="H156" s="173"/>
      <c r="I156" s="173"/>
      <c r="J156" s="173"/>
      <c r="K156" s="173"/>
      <c r="L156" s="173"/>
      <c r="M156" s="173"/>
      <c r="N156" s="136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</row>
    <row r="157" spans="1:41" x14ac:dyDescent="0.2">
      <c r="A157" s="30"/>
      <c r="B157" s="136"/>
      <c r="D157" s="155"/>
      <c r="E157" s="155"/>
      <c r="F157" s="77"/>
      <c r="G157" s="173"/>
      <c r="H157" s="173"/>
      <c r="I157" s="173"/>
      <c r="J157" s="173"/>
      <c r="K157" s="173"/>
      <c r="L157" s="173"/>
      <c r="M157" s="173"/>
      <c r="N157" s="136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</row>
    <row r="158" spans="1:41" x14ac:dyDescent="0.2">
      <c r="A158" s="30"/>
      <c r="B158" s="136"/>
      <c r="D158" s="163" t="s">
        <v>519</v>
      </c>
      <c r="E158" s="35"/>
      <c r="F158" s="35"/>
      <c r="G158" s="35"/>
      <c r="H158" s="35"/>
      <c r="I158" s="35"/>
      <c r="J158" s="35"/>
      <c r="K158" s="35"/>
      <c r="L158" s="164"/>
      <c r="M158" s="173"/>
      <c r="N158" s="136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</row>
    <row r="159" spans="1:41" x14ac:dyDescent="0.2">
      <c r="A159" s="30"/>
      <c r="B159" s="136"/>
      <c r="D159" s="165" t="s">
        <v>520</v>
      </c>
      <c r="L159" s="135"/>
      <c r="M159" s="173"/>
      <c r="N159" s="136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</row>
    <row r="160" spans="1:41" x14ac:dyDescent="0.2">
      <c r="A160" s="30"/>
      <c r="B160" s="136"/>
      <c r="D160" s="174" t="s">
        <v>521</v>
      </c>
      <c r="E160" s="175"/>
      <c r="F160" s="176"/>
      <c r="G160" s="177"/>
      <c r="H160" s="177"/>
      <c r="I160" s="177"/>
      <c r="J160" s="177"/>
      <c r="K160" s="177"/>
      <c r="L160" s="178"/>
      <c r="M160" s="173"/>
      <c r="N160" s="136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</row>
    <row r="161" spans="1:41" x14ac:dyDescent="0.2">
      <c r="A161" s="30"/>
      <c r="B161" s="136"/>
      <c r="D161" s="155"/>
      <c r="E161" s="155"/>
      <c r="F161" s="77"/>
      <c r="G161" s="173"/>
      <c r="H161" s="173"/>
      <c r="I161" s="173"/>
      <c r="J161" s="173"/>
      <c r="K161" s="173"/>
      <c r="L161" s="173"/>
      <c r="M161" s="173"/>
      <c r="N161" s="136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</row>
    <row r="162" spans="1:41" x14ac:dyDescent="0.2">
      <c r="A162" s="30"/>
      <c r="B162" s="136"/>
      <c r="D162" s="155"/>
      <c r="E162" s="155"/>
      <c r="F162" s="77"/>
      <c r="G162" s="173"/>
      <c r="H162" s="173"/>
      <c r="I162" s="173"/>
      <c r="J162" s="173"/>
      <c r="K162" s="173"/>
      <c r="L162" s="173"/>
      <c r="M162" s="173"/>
      <c r="N162" s="136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</row>
    <row r="163" spans="1:41" x14ac:dyDescent="0.2">
      <c r="A163" s="30"/>
      <c r="B163" s="136"/>
      <c r="D163" s="155" t="s">
        <v>523</v>
      </c>
      <c r="E163" s="155"/>
      <c r="F163" s="77"/>
      <c r="G163" s="173"/>
      <c r="H163" s="173"/>
      <c r="I163" s="173"/>
      <c r="J163" s="173"/>
      <c r="K163" s="173"/>
      <c r="L163" s="173"/>
      <c r="M163" s="173"/>
      <c r="N163" s="136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</row>
    <row r="164" spans="1:41" x14ac:dyDescent="0.2">
      <c r="A164" s="30"/>
      <c r="B164" s="136"/>
      <c r="D164" s="173"/>
      <c r="E164" s="173"/>
      <c r="F164" s="173"/>
      <c r="G164" s="173"/>
      <c r="H164" s="173"/>
      <c r="I164" s="173"/>
      <c r="J164" s="173"/>
      <c r="K164" s="173"/>
      <c r="L164" s="173"/>
      <c r="M164" s="173"/>
      <c r="N164" s="136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</row>
    <row r="165" spans="1:41" x14ac:dyDescent="0.2">
      <c r="A165" s="30"/>
      <c r="B165" s="136"/>
      <c r="C165" s="136"/>
      <c r="D165" s="136"/>
      <c r="E165" s="136"/>
      <c r="F165" s="136"/>
      <c r="G165" s="136"/>
      <c r="H165" s="136"/>
      <c r="I165" s="136"/>
      <c r="J165" s="136"/>
      <c r="K165" s="136"/>
      <c r="L165" s="136"/>
      <c r="M165" s="136"/>
      <c r="N165" s="136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</row>
    <row r="166" spans="1:41" x14ac:dyDescent="0.2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  <c r="AO166" s="30"/>
    </row>
    <row r="167" spans="1:41" x14ac:dyDescent="0.2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</row>
    <row r="168" spans="1:41" x14ac:dyDescent="0.2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</row>
    <row r="169" spans="1:41" x14ac:dyDescent="0.2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</row>
    <row r="170" spans="1:41" x14ac:dyDescent="0.2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</row>
    <row r="171" spans="1:41" x14ac:dyDescent="0.2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</row>
    <row r="172" spans="1:41" x14ac:dyDescent="0.2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</row>
    <row r="173" spans="1:41" x14ac:dyDescent="0.2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</row>
    <row r="174" spans="1:41" x14ac:dyDescent="0.2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</row>
    <row r="175" spans="1:41" x14ac:dyDescent="0.2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30"/>
      <c r="AO175" s="30"/>
    </row>
    <row r="176" spans="1:41" x14ac:dyDescent="0.2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</row>
    <row r="177" spans="1:41" x14ac:dyDescent="0.2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</row>
    <row r="178" spans="1:41" x14ac:dyDescent="0.2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30"/>
      <c r="AO178" s="30"/>
    </row>
    <row r="179" spans="1:41" x14ac:dyDescent="0.2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</row>
    <row r="180" spans="1:41" x14ac:dyDescent="0.2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</row>
    <row r="181" spans="1:41" x14ac:dyDescent="0.2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30"/>
      <c r="AO181" s="30"/>
    </row>
    <row r="182" spans="1:41" x14ac:dyDescent="0.2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</row>
    <row r="183" spans="1:41" x14ac:dyDescent="0.2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</row>
    <row r="184" spans="1:41" x14ac:dyDescent="0.2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0"/>
      <c r="AN184" s="30"/>
      <c r="AO184" s="30"/>
    </row>
    <row r="185" spans="1:41" x14ac:dyDescent="0.2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</row>
    <row r="186" spans="1:41" x14ac:dyDescent="0.2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</row>
    <row r="187" spans="1:41" x14ac:dyDescent="0.2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  <c r="AO187" s="30"/>
    </row>
    <row r="188" spans="1:41" x14ac:dyDescent="0.2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</row>
    <row r="189" spans="1:41" x14ac:dyDescent="0.2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</row>
    <row r="190" spans="1:41" x14ac:dyDescent="0.2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</row>
    <row r="191" spans="1:41" x14ac:dyDescent="0.2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</row>
    <row r="192" spans="1:41" x14ac:dyDescent="0.2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</row>
    <row r="193" spans="1:15" x14ac:dyDescent="0.2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</row>
    <row r="194" spans="1:15" x14ac:dyDescent="0.2">
      <c r="D194" s="30"/>
    </row>
    <row r="195" spans="1:15" x14ac:dyDescent="0.2">
      <c r="D195" s="30"/>
    </row>
    <row r="196" spans="1:15" x14ac:dyDescent="0.2">
      <c r="D196" s="30"/>
    </row>
  </sheetData>
  <sheetProtection password="ECA6" sheet="1" objects="1" scenarios="1"/>
  <phoneticPr fontId="0" type="noConversion"/>
  <printOptions horizontalCentered="1" verticalCentered="1"/>
  <pageMargins left="0.39370078740157483" right="0.31" top="0.19685039370078741" bottom="0.33" header="0.35433070866141736" footer="0.28000000000000003"/>
  <pageSetup paperSize="9" orientation="portrait" r:id="rId1"/>
  <headerFooter alignWithMargins="0">
    <oddHeader>&amp;L&amp;A&amp;CBesiktningsprotokoll för OVK&amp;R&amp;P av &amp;N</oddHeader>
    <oddFooter>&amp;L&amp;8FunkiS&amp;R&amp;8v 1.1</oddFooter>
  </headerFooter>
  <rowBreaks count="2" manualBreakCount="2">
    <brk id="45" min="2" max="12" man="1"/>
    <brk id="105" min="2" max="12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"/>
  <dimension ref="B2:T40"/>
  <sheetViews>
    <sheetView workbookViewId="0">
      <selection activeCell="H32" sqref="H32"/>
    </sheetView>
  </sheetViews>
  <sheetFormatPr defaultColWidth="8.85546875" defaultRowHeight="12.75" x14ac:dyDescent="0.2"/>
  <cols>
    <col min="6" max="6" width="12.140625" customWidth="1"/>
    <col min="8" max="8" width="9.85546875" customWidth="1"/>
    <col min="10" max="10" width="9.42578125" customWidth="1"/>
    <col min="12" max="12" width="10.140625" customWidth="1"/>
    <col min="16" max="16" width="10.42578125" customWidth="1"/>
    <col min="18" max="18" width="9.85546875" customWidth="1"/>
  </cols>
  <sheetData>
    <row r="2" spans="2:20" ht="15" x14ac:dyDescent="0.2">
      <c r="C2" s="193" t="s">
        <v>570</v>
      </c>
      <c r="D2" s="193"/>
      <c r="E2" s="193"/>
    </row>
    <row r="5" spans="2:20" x14ac:dyDescent="0.2">
      <c r="B5" t="s">
        <v>31</v>
      </c>
      <c r="D5" t="s">
        <v>33</v>
      </c>
      <c r="F5" t="s">
        <v>235</v>
      </c>
      <c r="H5" t="s">
        <v>357</v>
      </c>
      <c r="J5" t="s">
        <v>571</v>
      </c>
      <c r="L5" t="s">
        <v>353</v>
      </c>
      <c r="N5" t="s">
        <v>576</v>
      </c>
      <c r="P5" s="155" t="s">
        <v>577</v>
      </c>
      <c r="R5" s="155" t="s">
        <v>578</v>
      </c>
      <c r="T5" s="155" t="s">
        <v>284</v>
      </c>
    </row>
    <row r="6" spans="2:20" x14ac:dyDescent="0.2">
      <c r="J6">
        <v>0</v>
      </c>
      <c r="L6" t="s">
        <v>572</v>
      </c>
      <c r="N6" t="s">
        <v>400</v>
      </c>
    </row>
    <row r="7" spans="2:20" x14ac:dyDescent="0.2">
      <c r="B7" t="s">
        <v>0</v>
      </c>
      <c r="D7">
        <v>0</v>
      </c>
      <c r="F7" t="s">
        <v>236</v>
      </c>
      <c r="H7" t="s">
        <v>237</v>
      </c>
      <c r="J7">
        <v>1</v>
      </c>
      <c r="L7" t="s">
        <v>234</v>
      </c>
      <c r="N7" t="s">
        <v>401</v>
      </c>
      <c r="P7" t="s">
        <v>277</v>
      </c>
      <c r="R7" t="s">
        <v>251</v>
      </c>
      <c r="T7" t="s">
        <v>285</v>
      </c>
    </row>
    <row r="8" spans="2:20" x14ac:dyDescent="0.2">
      <c r="B8" t="s">
        <v>1</v>
      </c>
      <c r="D8">
        <v>1</v>
      </c>
      <c r="F8" t="s">
        <v>237</v>
      </c>
      <c r="H8" t="s">
        <v>399</v>
      </c>
      <c r="J8">
        <v>2</v>
      </c>
      <c r="L8" t="s">
        <v>573</v>
      </c>
      <c r="N8" t="s">
        <v>402</v>
      </c>
      <c r="P8" t="s">
        <v>278</v>
      </c>
      <c r="R8" t="s">
        <v>252</v>
      </c>
      <c r="T8" t="s">
        <v>286</v>
      </c>
    </row>
    <row r="9" spans="2:20" x14ac:dyDescent="0.2">
      <c r="B9" t="s">
        <v>2</v>
      </c>
      <c r="D9">
        <v>2</v>
      </c>
      <c r="F9" t="s">
        <v>238</v>
      </c>
      <c r="H9" t="s">
        <v>574</v>
      </c>
      <c r="N9" t="s">
        <v>403</v>
      </c>
      <c r="R9" t="s">
        <v>253</v>
      </c>
      <c r="T9" t="s">
        <v>287</v>
      </c>
    </row>
    <row r="10" spans="2:20" x14ac:dyDescent="0.2">
      <c r="B10" t="s">
        <v>3</v>
      </c>
      <c r="F10" t="s">
        <v>239</v>
      </c>
      <c r="H10" s="155" t="s">
        <v>239</v>
      </c>
      <c r="N10" t="s">
        <v>404</v>
      </c>
      <c r="R10" t="s">
        <v>275</v>
      </c>
      <c r="T10" t="s">
        <v>288</v>
      </c>
    </row>
    <row r="11" spans="2:20" x14ac:dyDescent="0.2">
      <c r="B11" t="s">
        <v>4</v>
      </c>
      <c r="F11" t="s">
        <v>399</v>
      </c>
      <c r="N11" t="s">
        <v>405</v>
      </c>
    </row>
    <row r="12" spans="2:20" x14ac:dyDescent="0.2">
      <c r="F12" t="s">
        <v>527</v>
      </c>
      <c r="N12" t="s">
        <v>406</v>
      </c>
    </row>
    <row r="13" spans="2:20" x14ac:dyDescent="0.2">
      <c r="B13" t="s">
        <v>5</v>
      </c>
      <c r="N13" t="s">
        <v>407</v>
      </c>
    </row>
    <row r="14" spans="2:20" x14ac:dyDescent="0.2">
      <c r="B14" t="s">
        <v>6</v>
      </c>
      <c r="N14" t="s">
        <v>408</v>
      </c>
    </row>
    <row r="15" spans="2:20" x14ac:dyDescent="0.2">
      <c r="B15" t="s">
        <v>7</v>
      </c>
      <c r="N15" t="s">
        <v>409</v>
      </c>
    </row>
    <row r="16" spans="2:20" x14ac:dyDescent="0.2">
      <c r="B16" t="s">
        <v>8</v>
      </c>
      <c r="N16" t="s">
        <v>410</v>
      </c>
    </row>
    <row r="17" spans="2:14" x14ac:dyDescent="0.2">
      <c r="B17" t="s">
        <v>9</v>
      </c>
      <c r="N17" t="s">
        <v>411</v>
      </c>
    </row>
    <row r="18" spans="2:14" x14ac:dyDescent="0.2">
      <c r="B18" t="s">
        <v>10</v>
      </c>
      <c r="N18" t="s">
        <v>412</v>
      </c>
    </row>
    <row r="19" spans="2:14" x14ac:dyDescent="0.2">
      <c r="B19" t="s">
        <v>11</v>
      </c>
      <c r="N19" t="s">
        <v>413</v>
      </c>
    </row>
    <row r="20" spans="2:14" x14ac:dyDescent="0.2">
      <c r="B20" t="s">
        <v>12</v>
      </c>
      <c r="N20" t="s">
        <v>414</v>
      </c>
    </row>
    <row r="21" spans="2:14" x14ac:dyDescent="0.2">
      <c r="B21" t="s">
        <v>13</v>
      </c>
      <c r="N21" t="s">
        <v>415</v>
      </c>
    </row>
    <row r="22" spans="2:14" x14ac:dyDescent="0.2">
      <c r="B22" t="s">
        <v>14</v>
      </c>
      <c r="N22" t="s">
        <v>416</v>
      </c>
    </row>
    <row r="23" spans="2:14" x14ac:dyDescent="0.2">
      <c r="N23" t="s">
        <v>417</v>
      </c>
    </row>
    <row r="24" spans="2:14" x14ac:dyDescent="0.2">
      <c r="B24" t="s">
        <v>15</v>
      </c>
      <c r="N24" t="s">
        <v>418</v>
      </c>
    </row>
    <row r="25" spans="2:14" x14ac:dyDescent="0.2">
      <c r="B25" t="s">
        <v>16</v>
      </c>
      <c r="N25" t="s">
        <v>419</v>
      </c>
    </row>
    <row r="26" spans="2:14" x14ac:dyDescent="0.2">
      <c r="B26" t="s">
        <v>17</v>
      </c>
      <c r="N26" t="s">
        <v>420</v>
      </c>
    </row>
    <row r="27" spans="2:14" x14ac:dyDescent="0.2">
      <c r="B27" t="s">
        <v>18</v>
      </c>
      <c r="N27" t="s">
        <v>421</v>
      </c>
    </row>
    <row r="28" spans="2:14" x14ac:dyDescent="0.2">
      <c r="B28" t="s">
        <v>19</v>
      </c>
      <c r="N28" t="s">
        <v>422</v>
      </c>
    </row>
    <row r="29" spans="2:14" x14ac:dyDescent="0.2">
      <c r="B29" t="s">
        <v>20</v>
      </c>
      <c r="N29" t="s">
        <v>423</v>
      </c>
    </row>
    <row r="30" spans="2:14" x14ac:dyDescent="0.2">
      <c r="B30" t="s">
        <v>21</v>
      </c>
      <c r="N30" t="s">
        <v>424</v>
      </c>
    </row>
    <row r="31" spans="2:14" x14ac:dyDescent="0.2">
      <c r="B31" t="s">
        <v>22</v>
      </c>
      <c r="N31" t="s">
        <v>425</v>
      </c>
    </row>
    <row r="32" spans="2:14" x14ac:dyDescent="0.2">
      <c r="B32" t="s">
        <v>23</v>
      </c>
      <c r="N32" t="s">
        <v>426</v>
      </c>
    </row>
    <row r="33" spans="2:14" x14ac:dyDescent="0.2">
      <c r="B33" t="s">
        <v>24</v>
      </c>
      <c r="N33" t="s">
        <v>427</v>
      </c>
    </row>
    <row r="34" spans="2:14" x14ac:dyDescent="0.2">
      <c r="N34" t="s">
        <v>428</v>
      </c>
    </row>
    <row r="35" spans="2:14" x14ac:dyDescent="0.2">
      <c r="B35" t="s">
        <v>25</v>
      </c>
      <c r="N35" t="s">
        <v>429</v>
      </c>
    </row>
    <row r="36" spans="2:14" x14ac:dyDescent="0.2">
      <c r="B36" t="s">
        <v>26</v>
      </c>
      <c r="N36" t="s">
        <v>430</v>
      </c>
    </row>
    <row r="37" spans="2:14" x14ac:dyDescent="0.2">
      <c r="B37" t="s">
        <v>27</v>
      </c>
      <c r="N37" t="s">
        <v>431</v>
      </c>
    </row>
    <row r="38" spans="2:14" x14ac:dyDescent="0.2">
      <c r="B38" t="s">
        <v>28</v>
      </c>
    </row>
    <row r="39" spans="2:14" x14ac:dyDescent="0.2">
      <c r="B39" t="s">
        <v>29</v>
      </c>
    </row>
    <row r="40" spans="2:14" x14ac:dyDescent="0.2">
      <c r="B40" t="s">
        <v>30</v>
      </c>
    </row>
  </sheetData>
  <pageMargins left="0.7" right="0.7" top="0.75" bottom="0.75" header="0.3" footer="0.3"/>
  <pageSetup paperSize="9"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AFA25-3F33-43FE-934C-1C892CB74C3B}">
  <sheetPr codeName="wsCertTemplate1">
    <pageSetUpPr fitToPage="1"/>
  </sheetPr>
  <dimension ref="B1:M25"/>
  <sheetViews>
    <sheetView showGridLines="0" workbookViewId="0">
      <selection activeCell="E5" sqref="E5:J5"/>
    </sheetView>
  </sheetViews>
  <sheetFormatPr defaultColWidth="9.140625" defaultRowHeight="12.75" x14ac:dyDescent="0.2"/>
  <cols>
    <col min="1" max="1" width="7.42578125" style="194" customWidth="1"/>
    <col min="2" max="4" width="1.42578125" style="34" customWidth="1"/>
    <col min="5" max="5" width="12.42578125" style="34" customWidth="1"/>
    <col min="6" max="6" width="10" style="34" customWidth="1"/>
    <col min="7" max="7" width="18" style="34" customWidth="1"/>
    <col min="8" max="9" width="6.42578125" style="34" customWidth="1"/>
    <col min="10" max="10" width="14.42578125" style="34" customWidth="1"/>
    <col min="11" max="13" width="1.42578125" style="34" customWidth="1"/>
    <col min="14" max="14" width="7.42578125" style="194" customWidth="1"/>
    <col min="15" max="15" width="2.42578125" style="194" customWidth="1"/>
    <col min="16" max="17" width="2.140625" style="194" customWidth="1"/>
    <col min="18" max="25" width="9.140625" style="194"/>
    <col min="26" max="26" width="1.42578125" style="194" customWidth="1"/>
    <col min="27" max="28" width="2.42578125" style="194" customWidth="1"/>
    <col min="29" max="16384" width="9.140625" style="194"/>
  </cols>
  <sheetData>
    <row r="1" spans="2:13" ht="15.75" customHeight="1" x14ac:dyDescent="0.2"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</row>
    <row r="2" spans="2:13" ht="8.25" customHeight="1" x14ac:dyDescent="0.2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</row>
    <row r="3" spans="2:13" ht="12" customHeight="1" x14ac:dyDescent="0.2">
      <c r="B3" s="138"/>
      <c r="C3" s="189" t="s">
        <v>583</v>
      </c>
      <c r="D3" s="15"/>
      <c r="E3" s="15"/>
      <c r="F3" s="15"/>
      <c r="G3" s="15"/>
      <c r="H3" s="15"/>
      <c r="I3" s="15"/>
      <c r="J3" s="15"/>
      <c r="K3" s="15"/>
      <c r="L3" s="16"/>
      <c r="M3" s="138"/>
    </row>
    <row r="4" spans="2:13" ht="45.75" customHeight="1" x14ac:dyDescent="0.2">
      <c r="B4" s="138"/>
      <c r="C4" s="17"/>
      <c r="D4" s="437"/>
      <c r="E4" s="438" t="s">
        <v>259</v>
      </c>
      <c r="F4" s="439"/>
      <c r="G4" s="440"/>
      <c r="H4" s="441"/>
      <c r="I4" s="441"/>
      <c r="J4" s="441"/>
      <c r="K4" s="437"/>
      <c r="L4" s="18"/>
      <c r="M4" s="138"/>
    </row>
    <row r="5" spans="2:13" ht="14.1" customHeight="1" x14ac:dyDescent="0.2">
      <c r="B5" s="138"/>
      <c r="C5" s="17"/>
      <c r="D5" s="437"/>
      <c r="E5" s="445" t="s">
        <v>535</v>
      </c>
      <c r="F5" s="445"/>
      <c r="G5" s="445"/>
      <c r="H5" s="445"/>
      <c r="I5" s="445"/>
      <c r="J5" s="445"/>
      <c r="K5" s="437"/>
      <c r="L5" s="18"/>
      <c r="M5" s="138"/>
    </row>
    <row r="6" spans="2:13" ht="13.5" customHeight="1" x14ac:dyDescent="0.2">
      <c r="B6" s="138"/>
      <c r="C6" s="17"/>
      <c r="D6" s="437"/>
      <c r="E6" s="437" t="s">
        <v>559</v>
      </c>
      <c r="F6" s="437"/>
      <c r="G6" s="437"/>
      <c r="H6" s="437"/>
      <c r="I6" s="437"/>
      <c r="J6" s="437"/>
      <c r="K6" s="437"/>
      <c r="L6" s="18"/>
      <c r="M6" s="138"/>
    </row>
    <row r="7" spans="2:13" ht="15" customHeight="1" x14ac:dyDescent="0.2">
      <c r="B7" s="138"/>
      <c r="C7" s="17"/>
      <c r="D7" s="437"/>
      <c r="E7" s="437" t="s">
        <v>560</v>
      </c>
      <c r="F7" s="437"/>
      <c r="G7" s="437"/>
      <c r="H7" s="437"/>
      <c r="I7" s="437"/>
      <c r="J7" s="437"/>
      <c r="K7" s="437"/>
      <c r="L7" s="18"/>
      <c r="M7" s="138"/>
    </row>
    <row r="8" spans="2:13" ht="9.9499999999999993" customHeight="1" x14ac:dyDescent="0.2">
      <c r="B8" s="138"/>
      <c r="C8" s="17"/>
      <c r="D8" s="437"/>
      <c r="E8" s="446" t="s">
        <v>195</v>
      </c>
      <c r="F8" s="447"/>
      <c r="G8" s="447"/>
      <c r="H8" s="448" t="s">
        <v>347</v>
      </c>
      <c r="I8" s="449"/>
      <c r="J8" s="450"/>
      <c r="K8" s="437"/>
      <c r="L8" s="18"/>
      <c r="M8" s="138"/>
    </row>
    <row r="9" spans="2:13" ht="16.5" customHeight="1" x14ac:dyDescent="0.2">
      <c r="B9" s="138"/>
      <c r="C9" s="17"/>
      <c r="D9" s="437"/>
      <c r="E9" s="471" cm="1">
        <f t="array" aca="1" ref="E9" ca="1">_xlfn.SINGLE(IFERROR(INDIRECT(C3&amp;"!D11"),""))</f>
        <v>0</v>
      </c>
      <c r="F9" s="454"/>
      <c r="G9" s="454"/>
      <c r="H9" s="453">
        <f>A_Blankett!$H$11</f>
        <v>0</v>
      </c>
      <c r="I9" s="454"/>
      <c r="J9" s="455"/>
      <c r="K9" s="437"/>
      <c r="L9" s="18"/>
      <c r="M9" s="138"/>
    </row>
    <row r="10" spans="2:13" ht="9.9499999999999993" customHeight="1" x14ac:dyDescent="0.2">
      <c r="B10" s="138"/>
      <c r="C10" s="17"/>
      <c r="D10" s="437"/>
      <c r="E10" s="446" t="s">
        <v>341</v>
      </c>
      <c r="F10" s="447"/>
      <c r="G10" s="447"/>
      <c r="H10" s="447"/>
      <c r="I10" s="447"/>
      <c r="J10" s="456"/>
      <c r="K10" s="437"/>
      <c r="L10" s="18"/>
      <c r="M10" s="138"/>
    </row>
    <row r="11" spans="2:13" ht="16.5" customHeight="1" x14ac:dyDescent="0.2">
      <c r="B11" s="138"/>
      <c r="C11" s="17"/>
      <c r="D11" s="437"/>
      <c r="E11" s="190">
        <f ca="1">IFERROR(INDIRECT(C3&amp;"!k6"),"")</f>
        <v>0</v>
      </c>
      <c r="F11" s="191"/>
      <c r="G11" s="191"/>
      <c r="H11" s="191"/>
      <c r="I11" s="191"/>
      <c r="J11" s="152"/>
      <c r="K11" s="437"/>
      <c r="L11" s="18"/>
      <c r="M11" s="138"/>
    </row>
    <row r="12" spans="2:13" ht="12" customHeight="1" x14ac:dyDescent="0.2">
      <c r="B12" s="138"/>
      <c r="C12" s="17"/>
      <c r="D12" s="437"/>
      <c r="E12" s="457" t="s">
        <v>569</v>
      </c>
      <c r="F12" s="458"/>
      <c r="G12" s="458"/>
      <c r="H12" s="458"/>
      <c r="I12" s="458"/>
      <c r="J12" s="459"/>
      <c r="K12" s="437"/>
      <c r="L12" s="18"/>
      <c r="M12" s="138"/>
    </row>
    <row r="13" spans="2:13" ht="16.5" customHeight="1" x14ac:dyDescent="0.2">
      <c r="B13" s="138"/>
      <c r="C13" s="17"/>
      <c r="D13" s="437"/>
      <c r="E13" s="442"/>
      <c r="F13" s="443"/>
      <c r="G13" s="443"/>
      <c r="H13" s="443"/>
      <c r="I13" s="443"/>
      <c r="J13" s="444"/>
      <c r="K13" s="437"/>
      <c r="L13" s="18"/>
      <c r="M13" s="138"/>
    </row>
    <row r="14" spans="2:13" ht="9.9499999999999993" customHeight="1" x14ac:dyDescent="0.2">
      <c r="B14" s="138"/>
      <c r="C14" s="17"/>
      <c r="D14" s="437"/>
      <c r="E14" s="446" t="s">
        <v>220</v>
      </c>
      <c r="F14" s="456"/>
      <c r="G14" s="60" t="s">
        <v>218</v>
      </c>
      <c r="H14" s="446" t="s">
        <v>298</v>
      </c>
      <c r="I14" s="448"/>
      <c r="J14" s="470"/>
      <c r="K14" s="437"/>
      <c r="L14" s="18"/>
      <c r="M14" s="138"/>
    </row>
    <row r="15" spans="2:13" ht="16.5" customHeight="1" x14ac:dyDescent="0.2">
      <c r="B15" s="138"/>
      <c r="C15" s="17"/>
      <c r="D15" s="437"/>
      <c r="E15" s="471" t="str">
        <f>A_Blankett!$D$49</f>
        <v>Kristoffer Toivanen</v>
      </c>
      <c r="F15" s="455"/>
      <c r="G15" s="179" t="str">
        <f ca="1">A_Blankett!$F$23</f>
        <v/>
      </c>
      <c r="H15" s="778"/>
      <c r="I15" s="779"/>
      <c r="J15" s="780"/>
      <c r="K15" s="437"/>
      <c r="L15" s="18"/>
      <c r="M15" s="138"/>
    </row>
    <row r="16" spans="2:13" ht="9.9499999999999993" customHeight="1" x14ac:dyDescent="0.2">
      <c r="B16" s="138"/>
      <c r="C16" s="17"/>
      <c r="D16" s="437"/>
      <c r="E16" s="446" t="s">
        <v>47</v>
      </c>
      <c r="F16" s="447"/>
      <c r="G16" s="36" t="s">
        <v>334</v>
      </c>
      <c r="H16" s="151" t="s">
        <v>349</v>
      </c>
      <c r="I16" s="35"/>
      <c r="J16" s="154" t="s">
        <v>348</v>
      </c>
      <c r="K16" s="437"/>
      <c r="L16" s="18"/>
      <c r="M16" s="138"/>
    </row>
    <row r="17" spans="2:13" ht="16.5" customHeight="1" x14ac:dyDescent="0.2">
      <c r="B17" s="138"/>
      <c r="C17" s="17"/>
      <c r="D17" s="437"/>
      <c r="E17" s="471" t="str">
        <f>A_Blankett!$D$51</f>
        <v>KrÅs AB</v>
      </c>
      <c r="F17" s="474"/>
      <c r="G17" s="153" t="str">
        <f>A_Blankett!$J$53</f>
        <v>K</v>
      </c>
      <c r="H17" s="471" t="str">
        <f>A_Blankett!$D$53</f>
        <v>RISE</v>
      </c>
      <c r="I17" s="454"/>
      <c r="J17" s="152" t="str">
        <f>A_Blankett!$F$53</f>
        <v>C004798</v>
      </c>
      <c r="K17" s="437"/>
      <c r="L17" s="18"/>
      <c r="M17" s="138"/>
    </row>
    <row r="18" spans="2:13" ht="11.25" customHeight="1" x14ac:dyDescent="0.2">
      <c r="B18" s="138"/>
      <c r="C18" s="17"/>
      <c r="D18" s="437"/>
      <c r="E18" s="460"/>
      <c r="F18" s="460"/>
      <c r="G18" s="460"/>
      <c r="H18" s="460"/>
      <c r="I18" s="460"/>
      <c r="J18" s="460"/>
      <c r="K18" s="437"/>
      <c r="L18" s="18"/>
      <c r="M18" s="138"/>
    </row>
    <row r="19" spans="2:13" ht="14.1" customHeight="1" x14ac:dyDescent="0.2">
      <c r="B19" s="138"/>
      <c r="C19" s="17"/>
      <c r="D19" s="437"/>
      <c r="E19" s="445" t="s">
        <v>332</v>
      </c>
      <c r="F19" s="445"/>
      <c r="G19" s="445"/>
      <c r="H19" s="445"/>
      <c r="I19" s="445"/>
      <c r="J19" s="445"/>
      <c r="K19" s="437"/>
      <c r="L19" s="18"/>
      <c r="M19" s="138"/>
    </row>
    <row r="20" spans="2:13" ht="13.5" customHeight="1" x14ac:dyDescent="0.2">
      <c r="B20" s="138"/>
      <c r="C20" s="17"/>
      <c r="D20" s="437"/>
      <c r="E20" s="461" t="s">
        <v>228</v>
      </c>
      <c r="F20" s="462"/>
      <c r="G20" s="462"/>
      <c r="H20" s="462"/>
      <c r="I20" s="462"/>
      <c r="J20" s="463"/>
      <c r="K20" s="437"/>
      <c r="L20" s="18"/>
      <c r="M20" s="138"/>
    </row>
    <row r="21" spans="2:13" ht="15" customHeight="1" x14ac:dyDescent="0.2">
      <c r="B21" s="138"/>
      <c r="C21" s="17"/>
      <c r="D21" s="437"/>
      <c r="E21" s="464"/>
      <c r="F21" s="465"/>
      <c r="G21" s="465"/>
      <c r="H21" s="465"/>
      <c r="I21" s="465"/>
      <c r="J21" s="466"/>
      <c r="K21" s="437"/>
      <c r="L21" s="18"/>
      <c r="M21" s="138"/>
    </row>
    <row r="22" spans="2:13" ht="14.1" customHeight="1" x14ac:dyDescent="0.2">
      <c r="B22" s="138"/>
      <c r="C22" s="17"/>
      <c r="D22" s="437"/>
      <c r="E22" s="464"/>
      <c r="F22" s="465"/>
      <c r="G22" s="465"/>
      <c r="H22" s="465"/>
      <c r="I22" s="465"/>
      <c r="J22" s="466"/>
      <c r="K22" s="437"/>
      <c r="L22" s="18"/>
      <c r="M22" s="138"/>
    </row>
    <row r="23" spans="2:13" ht="15" customHeight="1" x14ac:dyDescent="0.2">
      <c r="B23" s="138"/>
      <c r="C23" s="17"/>
      <c r="D23" s="437"/>
      <c r="E23" s="467"/>
      <c r="F23" s="468"/>
      <c r="G23" s="468"/>
      <c r="H23" s="468"/>
      <c r="I23" s="468"/>
      <c r="J23" s="469"/>
      <c r="K23" s="437"/>
      <c r="L23" s="18"/>
      <c r="M23" s="138"/>
    </row>
    <row r="24" spans="2:13" ht="12" customHeight="1" x14ac:dyDescent="0.2">
      <c r="B24" s="138"/>
      <c r="C24" s="19"/>
      <c r="D24" s="20"/>
      <c r="E24" s="20"/>
      <c r="F24" s="20"/>
      <c r="G24" s="20"/>
      <c r="H24" s="20"/>
      <c r="I24" s="20"/>
      <c r="J24" s="20"/>
      <c r="K24" s="20"/>
      <c r="L24" s="21"/>
      <c r="M24" s="138"/>
    </row>
    <row r="25" spans="2:13" x14ac:dyDescent="0.2">
      <c r="B25" s="138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</row>
  </sheetData>
  <sheetProtection selectLockedCells="1"/>
  <mergeCells count="24">
    <mergeCell ref="D4:D23"/>
    <mergeCell ref="E4:F4"/>
    <mergeCell ref="G4:J4"/>
    <mergeCell ref="K4:K23"/>
    <mergeCell ref="E5:J5"/>
    <mergeCell ref="E6:J6"/>
    <mergeCell ref="E7:J7"/>
    <mergeCell ref="E8:G8"/>
    <mergeCell ref="H8:J8"/>
    <mergeCell ref="E9:G9"/>
    <mergeCell ref="H9:J9"/>
    <mergeCell ref="E10:J10"/>
    <mergeCell ref="E12:J12"/>
    <mergeCell ref="E13:J13"/>
    <mergeCell ref="E14:F14"/>
    <mergeCell ref="H14:J14"/>
    <mergeCell ref="E19:J19"/>
    <mergeCell ref="E20:J23"/>
    <mergeCell ref="E15:F15"/>
    <mergeCell ref="H15:J15"/>
    <mergeCell ref="E16:F16"/>
    <mergeCell ref="E17:F17"/>
    <mergeCell ref="H17:I17"/>
    <mergeCell ref="E18:J18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3" fitToHeight="0" orientation="portrait" r:id="rId1"/>
  <headerFooter alignWithMargins="0">
    <oddFooter>&amp;L&amp;8FunkiS&amp;R&amp;8v 1.1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13</vt:i4>
      </vt:variant>
      <vt:variant>
        <vt:lpstr>Namngivna områden</vt:lpstr>
      </vt:variant>
      <vt:variant>
        <vt:i4>35</vt:i4>
      </vt:variant>
    </vt:vector>
  </HeadingPairs>
  <TitlesOfParts>
    <vt:vector size="48" baseType="lpstr">
      <vt:lpstr>B_mall</vt:lpstr>
      <vt:lpstr>A_Blankett</vt:lpstr>
      <vt:lpstr>Ett Intyg</vt:lpstr>
      <vt:lpstr>L1</vt:lpstr>
      <vt:lpstr>E1</vt:lpstr>
      <vt:lpstr>K1</vt:lpstr>
      <vt:lpstr>C1</vt:lpstr>
      <vt:lpstr>D1</vt:lpstr>
      <vt:lpstr>Intyg_Mall</vt:lpstr>
      <vt:lpstr>Checklista</vt:lpstr>
      <vt:lpstr>Manual</vt:lpstr>
      <vt:lpstr>Setup</vt:lpstr>
      <vt:lpstr>Flera intyg</vt:lpstr>
      <vt:lpstr>'Flera intyg'!rngCert</vt:lpstr>
      <vt:lpstr>rngCert</vt:lpstr>
      <vt:lpstr>'Flera intyg'!rngEnergi</vt:lpstr>
      <vt:lpstr>rngEnergi</vt:lpstr>
      <vt:lpstr>'Flera intyg'!rngFilter</vt:lpstr>
      <vt:lpstr>rngFilter</vt:lpstr>
      <vt:lpstr>'Flera intyg'!rngFläkthjul</vt:lpstr>
      <vt:lpstr>rngFläkthjul</vt:lpstr>
      <vt:lpstr>rngNameOfSh</vt:lpstr>
      <vt:lpstr>'Flera intyg'!rngVVXTyp</vt:lpstr>
      <vt:lpstr>rngVVXTyp</vt:lpstr>
      <vt:lpstr>'Flera intyg'!tblbeskat</vt:lpstr>
      <vt:lpstr>tblbeskat</vt:lpstr>
      <vt:lpstr>'Flera intyg'!tblFlaktTyp</vt:lpstr>
      <vt:lpstr>tblFlaktTyp</vt:lpstr>
      <vt:lpstr>'Flera intyg'!tblPos</vt:lpstr>
      <vt:lpstr>tblPos</vt:lpstr>
      <vt:lpstr>'Flera intyg'!tblRes</vt:lpstr>
      <vt:lpstr>tblRes</vt:lpstr>
      <vt:lpstr>'Flera intyg'!tblSystemtyp</vt:lpstr>
      <vt:lpstr>tblSystemtyp</vt:lpstr>
      <vt:lpstr>'Flera intyg'!tblUtfall</vt:lpstr>
      <vt:lpstr>tblUtfall</vt:lpstr>
      <vt:lpstr>A_Blankett!Utskriftsområde</vt:lpstr>
      <vt:lpstr>B_mall!Utskriftsområde</vt:lpstr>
      <vt:lpstr>'C1'!Utskriftsområde</vt:lpstr>
      <vt:lpstr>Checklista!Utskriftsområde</vt:lpstr>
      <vt:lpstr>'D1'!Utskriftsområde</vt:lpstr>
      <vt:lpstr>'E1'!Utskriftsområde</vt:lpstr>
      <vt:lpstr>'Ett Intyg'!Utskriftsområde</vt:lpstr>
      <vt:lpstr>'Flera intyg'!Utskriftsområde</vt:lpstr>
      <vt:lpstr>Intyg_Mall!Utskriftsområde</vt:lpstr>
      <vt:lpstr>'K1'!Utskriftsområde</vt:lpstr>
      <vt:lpstr>'L1'!Utskriftsområde</vt:lpstr>
      <vt:lpstr>Manual!Utskriftsområde</vt:lpstr>
    </vt:vector>
  </TitlesOfParts>
  <Company>Funktionskontrollanterna i Sverige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Besiktningsprotokoll OVK</dc:title>
  <dc:subject>Formulär</dc:subject>
  <dc:creator>Johnny Rosendahl</dc:creator>
  <cp:keywords>Spärrat för FunkiS</cp:keywords>
  <dc:description>Spärrning kan endast brytas av FunkiS</dc:description>
  <cp:lastModifiedBy>Kristoffer Toivanen</cp:lastModifiedBy>
  <cp:lastPrinted>2022-02-21T15:39:54Z</cp:lastPrinted>
  <dcterms:created xsi:type="dcterms:W3CDTF">1999-06-15T21:02:52Z</dcterms:created>
  <dcterms:modified xsi:type="dcterms:W3CDTF">2025-01-23T17:22:42Z</dcterms:modified>
  <cp:category>Besiktningsformulär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kt">
    <vt:lpwstr>säkrat formulär</vt:lpwstr>
  </property>
  <property fmtid="{D5CDD505-2E9C-101B-9397-08002B2CF9AE}" pid="3" name="Ägare">
    <vt:lpwstr>Corp. Trav. Support</vt:lpwstr>
  </property>
</Properties>
</file>